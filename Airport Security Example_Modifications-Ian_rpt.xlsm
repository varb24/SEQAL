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9DE24699-B1C3-40AB-A7E2-4DE11E5B7B15}" xr6:coauthVersionLast="47" xr6:coauthVersionMax="47" xr10:uidLastSave="{00000000-0000-0000-0000-000000000000}"/>
  <bookViews>
    <workbookView xWindow="7365" yWindow="4245" windowWidth="28800" windowHeight="1543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ContinuousTimeStatsByRep!$A$1:$L$53</definedName>
    <definedName name="ExternalData_1" localSheetId="4" hidden="1">CounterStatsByRep!$A$1:$G$2</definedName>
    <definedName name="ExternalData_1" localSheetId="2" hidden="1">DiscreteTimeStatsByRep!$A$1:$K$161</definedName>
    <definedName name="ExternalData_1" localSheetId="6" hidden="1">FrequencyStatsByRep!$A$1:$K$2</definedName>
    <definedName name="ExternalData_1" localSheetId="5" hidden="1">OutputStatsByRep!$A$1:$H$237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00" r:id="rId8"/>
    <pivotCache cacheId="106" r:id="rId9"/>
    <pivotCache cacheId="112" r:id="rId10"/>
    <pivotCache cacheId="118" r:id="rId11"/>
    <pivotCache cacheId="12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M2" i="20" a="1"/>
  <c r="M2" i="20" s="1"/>
  <c r="M3" i="20" a="1"/>
  <c r="M3" i="20" s="1"/>
  <c r="N3" i="20" s="1"/>
  <c r="M4" i="20" a="1"/>
  <c r="M4" i="20" s="1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 s="1"/>
  <c r="M9" i="20" a="1"/>
  <c r="M9" i="20" s="1"/>
  <c r="N9" i="20" s="1"/>
  <c r="M10" i="20" a="1"/>
  <c r="M10" i="20" s="1"/>
  <c r="M11" i="20" a="1"/>
  <c r="M11" i="20" s="1"/>
  <c r="M12" i="20" a="1"/>
  <c r="M12" i="20" s="1"/>
  <c r="M13" i="20" a="1"/>
  <c r="M13" i="20" s="1"/>
  <c r="N13" i="20" s="1"/>
  <c r="M14" i="20" a="1"/>
  <c r="M14" i="20" s="1"/>
  <c r="N14" i="20" s="1"/>
  <c r="M15" i="20" a="1"/>
  <c r="M15" i="20" s="1"/>
  <c r="N15" i="20" s="1"/>
  <c r="M16" i="20" a="1"/>
  <c r="M16" i="20" s="1"/>
  <c r="M17" i="20" a="1"/>
  <c r="M17" i="20" s="1"/>
  <c r="M18" i="20" a="1"/>
  <c r="M18" i="20" s="1"/>
  <c r="M19" i="20" a="1"/>
  <c r="M19" i="20" s="1"/>
  <c r="N19" i="20" s="1"/>
  <c r="M20" i="20" a="1"/>
  <c r="M20" i="20" s="1"/>
  <c r="M21" i="20" a="1"/>
  <c r="M21" i="20" s="1"/>
  <c r="N21" i="20" s="1"/>
  <c r="M22" i="20" a="1"/>
  <c r="M22" i="20" s="1"/>
  <c r="M23" i="20" a="1"/>
  <c r="M23" i="20" s="1"/>
  <c r="N23" i="20" s="1"/>
  <c r="M24" i="20" a="1"/>
  <c r="M24" i="20" s="1"/>
  <c r="M25" i="20" a="1"/>
  <c r="M25" i="20" s="1"/>
  <c r="N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/>
  <c r="N30" i="20" s="1"/>
  <c r="M31" i="20" a="1"/>
  <c r="M31" i="20" s="1"/>
  <c r="N31" i="20" s="1"/>
  <c r="M32" i="20" a="1"/>
  <c r="M32" i="20" s="1"/>
  <c r="M33" i="20" a="1"/>
  <c r="M33" i="20" s="1"/>
  <c r="M34" i="20" a="1"/>
  <c r="M34" i="20" s="1"/>
  <c r="M35" i="20" a="1"/>
  <c r="M35" i="20" s="1"/>
  <c r="N35" i="20" s="1"/>
  <c r="M36" i="20" a="1"/>
  <c r="M36" i="20" s="1"/>
  <c r="M37" i="20" a="1"/>
  <c r="M37" i="20" s="1"/>
  <c r="M38" i="20" a="1"/>
  <c r="M38" i="20" s="1"/>
  <c r="N38" i="20" s="1"/>
  <c r="M39" i="20" a="1"/>
  <c r="M39" i="20" s="1"/>
  <c r="N39" i="20" s="1"/>
  <c r="M40" i="20" a="1"/>
  <c r="M40" i="20" s="1"/>
  <c r="M41" i="20" a="1"/>
  <c r="M41" i="20"/>
  <c r="N41" i="20" s="1"/>
  <c r="M42" i="20" a="1"/>
  <c r="M42" i="20" s="1"/>
  <c r="M43" i="20" a="1"/>
  <c r="M43" i="20" s="1"/>
  <c r="M44" i="20" a="1"/>
  <c r="M44" i="20" s="1"/>
  <c r="M45" i="20" a="1"/>
  <c r="M45" i="20" s="1"/>
  <c r="N45" i="20" s="1"/>
  <c r="M46" i="20" a="1"/>
  <c r="M46" i="20" s="1"/>
  <c r="N46" i="20" s="1"/>
  <c r="M47" i="20" a="1"/>
  <c r="M47" i="20" s="1"/>
  <c r="N47" i="20" s="1"/>
  <c r="M48" i="20" a="1"/>
  <c r="M48" i="20" s="1"/>
  <c r="N48" i="20" s="1"/>
  <c r="M49" i="20" a="1"/>
  <c r="M49" i="20" s="1"/>
  <c r="M50" i="20" a="1"/>
  <c r="M50" i="20" s="1"/>
  <c r="M51" i="20" a="1"/>
  <c r="M51" i="20" s="1"/>
  <c r="N51" i="20" s="1"/>
  <c r="M52" i="20" a="1"/>
  <c r="M52" i="20" s="1"/>
  <c r="M53" i="20" a="1"/>
  <c r="M53" i="20" s="1"/>
  <c r="M54" i="20" a="1"/>
  <c r="M54" i="20" s="1"/>
  <c r="M55" i="20" a="1"/>
  <c r="M55" i="20" s="1"/>
  <c r="N55" i="20" s="1"/>
  <c r="M56" i="20" a="1"/>
  <c r="M56" i="20" s="1"/>
  <c r="M57" i="20" a="1"/>
  <c r="M57" i="20" s="1"/>
  <c r="N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N62" i="20" s="1"/>
  <c r="M63" i="20" a="1"/>
  <c r="M63" i="20" s="1"/>
  <c r="N63" i="20" s="1"/>
  <c r="M64" i="20" a="1"/>
  <c r="M64" i="20" s="1"/>
  <c r="N64" i="20" s="1"/>
  <c r="M65" i="20" a="1"/>
  <c r="M65" i="20" s="1"/>
  <c r="M66" i="20" a="1"/>
  <c r="M66" i="20" s="1"/>
  <c r="N66" i="20" s="1"/>
  <c r="M67" i="20" a="1"/>
  <c r="M67" i="20" s="1"/>
  <c r="N67" i="20" s="1"/>
  <c r="M68" i="20" a="1"/>
  <c r="M68" i="20" s="1"/>
  <c r="M69" i="20" a="1"/>
  <c r="M69" i="20" s="1"/>
  <c r="M70" i="20" a="1"/>
  <c r="M70" i="20" s="1"/>
  <c r="M71" i="20" a="1"/>
  <c r="M71" i="20" s="1"/>
  <c r="N71" i="20" s="1"/>
  <c r="M72" i="20" a="1"/>
  <c r="M72" i="20" s="1"/>
  <c r="M73" i="20" a="1"/>
  <c r="M73" i="20"/>
  <c r="M74" i="20" a="1"/>
  <c r="M74" i="20" s="1"/>
  <c r="M75" i="20" a="1"/>
  <c r="M75" i="20" s="1"/>
  <c r="M76" i="20" a="1"/>
  <c r="M76" i="20" s="1"/>
  <c r="M77" i="20" a="1"/>
  <c r="M77" i="20" s="1"/>
  <c r="N77" i="20" s="1"/>
  <c r="M78" i="20" a="1"/>
  <c r="M78" i="20" s="1"/>
  <c r="N78" i="20" s="1"/>
  <c r="M79" i="20" a="1"/>
  <c r="M79" i="20" s="1"/>
  <c r="N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N84" i="20" s="1"/>
  <c r="M85" i="20" a="1"/>
  <c r="M85" i="20" s="1"/>
  <c r="M86" i="20" a="1"/>
  <c r="M86" i="20" s="1"/>
  <c r="M87" i="20" a="1"/>
  <c r="M87" i="20" s="1"/>
  <c r="N87" i="20" s="1"/>
  <c r="M88" i="20" a="1"/>
  <c r="M88" i="20" s="1"/>
  <c r="M89" i="20" a="1"/>
  <c r="M89" i="20" s="1"/>
  <c r="N89" i="20" s="1"/>
  <c r="M90" i="20" a="1"/>
  <c r="M90" i="20" s="1"/>
  <c r="M91" i="20" a="1"/>
  <c r="M91" i="20" s="1"/>
  <c r="N91" i="20" s="1"/>
  <c r="M92" i="20" a="1"/>
  <c r="M92" i="20" s="1"/>
  <c r="M93" i="20" a="1"/>
  <c r="M93" i="20" s="1"/>
  <c r="M94" i="20" a="1"/>
  <c r="M94" i="20"/>
  <c r="M95" i="20" a="1"/>
  <c r="M95" i="20" s="1"/>
  <c r="N95" i="20" s="1"/>
  <c r="M96" i="20" a="1"/>
  <c r="M96" i="20" s="1"/>
  <c r="M97" i="20" a="1"/>
  <c r="M97" i="20" s="1"/>
  <c r="M98" i="20" a="1"/>
  <c r="M98" i="20" s="1"/>
  <c r="N98" i="20" s="1"/>
  <c r="M99" i="20" a="1"/>
  <c r="M99" i="20" s="1"/>
  <c r="M100" i="20" a="1"/>
  <c r="M100" i="20" s="1"/>
  <c r="M101" i="20" a="1"/>
  <c r="M101" i="20" s="1"/>
  <c r="M102" i="20" a="1"/>
  <c r="M102" i="20" s="1"/>
  <c r="N102" i="20" s="1"/>
  <c r="M103" i="20" a="1"/>
  <c r="M103" i="20" s="1"/>
  <c r="N103" i="20" s="1"/>
  <c r="M104" i="20" a="1"/>
  <c r="M104" i="20" s="1"/>
  <c r="M105" i="20" a="1"/>
  <c r="M105" i="20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N110" i="20" s="1"/>
  <c r="M111" i="20" a="1"/>
  <c r="M111" i="20" s="1"/>
  <c r="N111" i="20" s="1"/>
  <c r="M112" i="20" a="1"/>
  <c r="M112" i="20" s="1"/>
  <c r="N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N119" i="20" s="1"/>
  <c r="M120" i="20" a="1"/>
  <c r="M120" i="20" s="1"/>
  <c r="M121" i="20" a="1"/>
  <c r="M121" i="20" s="1"/>
  <c r="N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/>
  <c r="M127" i="20" a="1"/>
  <c r="M127" i="20" s="1"/>
  <c r="N127" i="20" s="1"/>
  <c r="M128" i="20" a="1"/>
  <c r="M128" i="20" s="1"/>
  <c r="N128" i="20" s="1"/>
  <c r="M129" i="20" a="1"/>
  <c r="M129" i="20" s="1"/>
  <c r="N129" i="20" s="1"/>
  <c r="M130" i="20" a="1"/>
  <c r="M130" i="20" s="1"/>
  <c r="N130" i="20" s="1"/>
  <c r="M131" i="20" a="1"/>
  <c r="M131" i="20" s="1"/>
  <c r="M132" i="20" a="1"/>
  <c r="M132" i="20" s="1"/>
  <c r="M133" i="20" a="1"/>
  <c r="M133" i="20" s="1"/>
  <c r="M134" i="20" a="1"/>
  <c r="M134" i="20" s="1"/>
  <c r="N134" i="20" s="1"/>
  <c r="M135" i="20" a="1"/>
  <c r="M135" i="20" s="1"/>
  <c r="N135" i="20" s="1"/>
  <c r="M136" i="20" a="1"/>
  <c r="M136" i="20" s="1"/>
  <c r="M137" i="20" a="1"/>
  <c r="M137" i="20" s="1"/>
  <c r="N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N142" i="20" s="1"/>
  <c r="M143" i="20" a="1"/>
  <c r="M143" i="20" s="1"/>
  <c r="N143" i="20" s="1"/>
  <c r="M144" i="20" a="1"/>
  <c r="M144" i="20" s="1"/>
  <c r="M145" i="20" a="1"/>
  <c r="M145" i="20" s="1"/>
  <c r="N145" i="20" s="1"/>
  <c r="M146" i="20" a="1"/>
  <c r="M146" i="20" s="1"/>
  <c r="M147" i="20" a="1"/>
  <c r="M147" i="20" s="1"/>
  <c r="M148" i="20" a="1"/>
  <c r="M148" i="20" s="1"/>
  <c r="N148" i="20" s="1"/>
  <c r="M149" i="20" a="1"/>
  <c r="M149" i="20" s="1"/>
  <c r="M150" i="20" a="1"/>
  <c r="M150" i="20" s="1"/>
  <c r="M151" i="20" a="1"/>
  <c r="M151" i="20" s="1"/>
  <c r="N151" i="20" s="1"/>
  <c r="M152" i="20" a="1"/>
  <c r="M152" i="20" s="1"/>
  <c r="M153" i="20" a="1"/>
  <c r="M153" i="20" s="1"/>
  <c r="N153" i="20" s="1"/>
  <c r="M154" i="20" a="1"/>
  <c r="M154" i="20" s="1"/>
  <c r="M155" i="20" a="1"/>
  <c r="M155" i="20" s="1"/>
  <c r="N155" i="20" s="1"/>
  <c r="M156" i="20" a="1"/>
  <c r="M156" i="20" s="1"/>
  <c r="M157" i="20" a="1"/>
  <c r="M157" i="20" s="1"/>
  <c r="M158" i="20" a="1"/>
  <c r="M158" i="20"/>
  <c r="N158" i="20" s="1"/>
  <c r="M159" i="20" a="1"/>
  <c r="M159" i="20" s="1"/>
  <c r="M160" i="20" a="1"/>
  <c r="M160" i="20" s="1"/>
  <c r="M161" i="20" a="1"/>
  <c r="M161" i="20" s="1"/>
  <c r="M162" i="20" a="1"/>
  <c r="M162" i="20" s="1"/>
  <c r="M163" i="20" a="1"/>
  <c r="M163" i="20" s="1"/>
  <c r="M164" i="20" a="1"/>
  <c r="M164" i="20" s="1"/>
  <c r="M165" i="20" a="1"/>
  <c r="M165" i="20" s="1"/>
  <c r="N165" i="20" s="1"/>
  <c r="M166" i="20" a="1"/>
  <c r="M166" i="20" s="1"/>
  <c r="M167" i="20" a="1"/>
  <c r="M167" i="20" s="1"/>
  <c r="M168" i="20" a="1"/>
  <c r="M168" i="20" s="1"/>
  <c r="M169" i="20" a="1"/>
  <c r="M169" i="20"/>
  <c r="N169" i="20" s="1"/>
  <c r="M170" i="20" a="1"/>
  <c r="M170" i="20" s="1"/>
  <c r="M171" i="20" a="1"/>
  <c r="M171" i="20" s="1"/>
  <c r="M172" i="20" a="1"/>
  <c r="M172" i="20" s="1"/>
  <c r="M173" i="20" a="1"/>
  <c r="M173" i="20" s="1"/>
  <c r="N173" i="20" s="1"/>
  <c r="M174" i="20" a="1"/>
  <c r="M174" i="20" s="1"/>
  <c r="N174" i="20" s="1"/>
  <c r="M175" i="20" a="1"/>
  <c r="M175" i="20" s="1"/>
  <c r="M176" i="20" a="1"/>
  <c r="M176" i="20" s="1"/>
  <c r="M177" i="20" a="1"/>
  <c r="M177" i="20" s="1"/>
  <c r="M178" i="20" a="1"/>
  <c r="M178" i="20" s="1"/>
  <c r="M179" i="20" a="1"/>
  <c r="M179" i="20" s="1"/>
  <c r="M180" i="20" a="1"/>
  <c r="M180" i="20" s="1"/>
  <c r="M181" i="20" a="1"/>
  <c r="M181" i="20" s="1"/>
  <c r="N181" i="20" s="1"/>
  <c r="M182" i="20" a="1"/>
  <c r="M182" i="20" s="1"/>
  <c r="M183" i="20" a="1"/>
  <c r="M183" i="20" s="1"/>
  <c r="N183" i="20" s="1"/>
  <c r="M184" i="20" a="1"/>
  <c r="M184" i="20" s="1"/>
  <c r="M185" i="20" a="1"/>
  <c r="M185" i="20" s="1"/>
  <c r="N185" i="20" s="1"/>
  <c r="M186" i="20" a="1"/>
  <c r="M186" i="20" s="1"/>
  <c r="M187" i="20" a="1"/>
  <c r="M187" i="20" s="1"/>
  <c r="N187" i="20" s="1"/>
  <c r="M188" i="20" a="1"/>
  <c r="M188" i="20" s="1"/>
  <c r="M189" i="20" a="1"/>
  <c r="M189" i="20" s="1"/>
  <c r="M190" i="20" a="1"/>
  <c r="M190" i="20" s="1"/>
  <c r="N190" i="20" s="1"/>
  <c r="M191" i="20" a="1"/>
  <c r="M191" i="20" s="1"/>
  <c r="M192" i="20" a="1"/>
  <c r="M192" i="20" s="1"/>
  <c r="N192" i="20" s="1"/>
  <c r="M193" i="20" a="1"/>
  <c r="M193" i="20" s="1"/>
  <c r="M194" i="20" a="1"/>
  <c r="M194" i="20" s="1"/>
  <c r="M195" i="20" a="1"/>
  <c r="M195" i="20" s="1"/>
  <c r="M196" i="20" a="1"/>
  <c r="M196" i="20" s="1"/>
  <c r="M197" i="20" a="1"/>
  <c r="M197" i="20" s="1"/>
  <c r="N197" i="20" s="1"/>
  <c r="M198" i="20" a="1"/>
  <c r="M198" i="20" s="1"/>
  <c r="M199" i="20" a="1"/>
  <c r="M199" i="20" s="1"/>
  <c r="M200" i="20" a="1"/>
  <c r="M200" i="20" s="1"/>
  <c r="M201" i="20" a="1"/>
  <c r="M201" i="20"/>
  <c r="N201" i="20" s="1"/>
  <c r="M202" i="20" a="1"/>
  <c r="M202" i="20" s="1"/>
  <c r="M203" i="20" a="1"/>
  <c r="M203" i="20" s="1"/>
  <c r="M204" i="20" a="1"/>
  <c r="M204" i="20" s="1"/>
  <c r="M205" i="20" a="1"/>
  <c r="M205" i="20" s="1"/>
  <c r="N205" i="20" s="1"/>
  <c r="M206" i="20" a="1"/>
  <c r="M206" i="20" s="1"/>
  <c r="N206" i="20" s="1"/>
  <c r="M207" i="20" a="1"/>
  <c r="M207" i="20" s="1"/>
  <c r="M208" i="20" a="1"/>
  <c r="M208" i="20" s="1"/>
  <c r="M209" i="20" a="1"/>
  <c r="M209" i="20" s="1"/>
  <c r="M210" i="20" a="1"/>
  <c r="M210" i="20" s="1"/>
  <c r="M211" i="20" a="1"/>
  <c r="M211" i="20" s="1"/>
  <c r="M212" i="20" a="1"/>
  <c r="M212" i="20" s="1"/>
  <c r="M213" i="20" a="1"/>
  <c r="M213" i="20" s="1"/>
  <c r="N213" i="20" s="1"/>
  <c r="M214" i="20" a="1"/>
  <c r="M214" i="20" s="1"/>
  <c r="M215" i="20" a="1"/>
  <c r="M215" i="20" s="1"/>
  <c r="N215" i="20" s="1"/>
  <c r="M216" i="20" a="1"/>
  <c r="M216" i="20" s="1"/>
  <c r="M217" i="20" a="1"/>
  <c r="M217" i="20" s="1"/>
  <c r="N217" i="20" s="1"/>
  <c r="M218" i="20" a="1"/>
  <c r="M218" i="20" s="1"/>
  <c r="M219" i="20" a="1"/>
  <c r="M219" i="20" s="1"/>
  <c r="N219" i="20" s="1"/>
  <c r="M220" i="20" a="1"/>
  <c r="M220" i="20" s="1"/>
  <c r="M221" i="20" a="1"/>
  <c r="M221" i="20" s="1"/>
  <c r="M222" i="20" a="1"/>
  <c r="M222" i="20"/>
  <c r="M223" i="20" a="1"/>
  <c r="M223" i="20" s="1"/>
  <c r="M224" i="20" a="1"/>
  <c r="M224" i="20" s="1"/>
  <c r="M225" i="20" a="1"/>
  <c r="M225" i="20" s="1"/>
  <c r="M226" i="20" a="1"/>
  <c r="M226" i="20" s="1"/>
  <c r="N226" i="20" s="1"/>
  <c r="M227" i="20" a="1"/>
  <c r="M227" i="20" s="1"/>
  <c r="M228" i="20" a="1"/>
  <c r="M228" i="20" s="1"/>
  <c r="M229" i="20" a="1"/>
  <c r="M229" i="20" s="1"/>
  <c r="N229" i="20" s="1"/>
  <c r="M230" i="20" a="1"/>
  <c r="M230" i="20" s="1"/>
  <c r="M231" i="20" a="1"/>
  <c r="M231" i="20" s="1"/>
  <c r="M232" i="20" a="1"/>
  <c r="M232" i="20" s="1"/>
  <c r="M233" i="20" a="1"/>
  <c r="M233" i="20"/>
  <c r="N233" i="20" s="1"/>
  <c r="M234" i="20" a="1"/>
  <c r="M234" i="20" s="1"/>
  <c r="M235" i="20" a="1"/>
  <c r="M235" i="20" s="1"/>
  <c r="M236" i="20" a="1"/>
  <c r="M236" i="20" s="1"/>
  <c r="M237" i="20" a="1"/>
  <c r="M237" i="20" s="1"/>
  <c r="N237" i="20" s="1"/>
  <c r="N2" i="20"/>
  <c r="N4" i="20"/>
  <c r="N8" i="20"/>
  <c r="N10" i="20"/>
  <c r="N12" i="20"/>
  <c r="N16" i="20"/>
  <c r="N17" i="20"/>
  <c r="N20" i="20"/>
  <c r="N22" i="20"/>
  <c r="N24" i="20"/>
  <c r="N26" i="20"/>
  <c r="N27" i="20"/>
  <c r="N28" i="20"/>
  <c r="N32" i="20"/>
  <c r="N33" i="20"/>
  <c r="N34" i="20"/>
  <c r="N36" i="20"/>
  <c r="N37" i="20"/>
  <c r="N40" i="20"/>
  <c r="N42" i="20"/>
  <c r="N43" i="20"/>
  <c r="N44" i="20"/>
  <c r="N49" i="20"/>
  <c r="N50" i="20"/>
  <c r="N52" i="20"/>
  <c r="N53" i="20"/>
  <c r="N54" i="20"/>
  <c r="N56" i="20"/>
  <c r="N58" i="20"/>
  <c r="N59" i="20"/>
  <c r="N60" i="20"/>
  <c r="N65" i="20"/>
  <c r="N68" i="20"/>
  <c r="N69" i="20"/>
  <c r="N70" i="20"/>
  <c r="N72" i="20"/>
  <c r="N73" i="20"/>
  <c r="N74" i="20"/>
  <c r="N76" i="20"/>
  <c r="N80" i="20"/>
  <c r="N81" i="20"/>
  <c r="N83" i="20"/>
  <c r="N85" i="20"/>
  <c r="N86" i="20"/>
  <c r="N88" i="20"/>
  <c r="N90" i="20"/>
  <c r="N92" i="20"/>
  <c r="N94" i="20"/>
  <c r="N96" i="20"/>
  <c r="N97" i="20"/>
  <c r="N99" i="20"/>
  <c r="N100" i="20"/>
  <c r="N101" i="20"/>
  <c r="N104" i="20"/>
  <c r="N105" i="20"/>
  <c r="N106" i="20"/>
  <c r="N107" i="20"/>
  <c r="N108" i="20"/>
  <c r="N109" i="20"/>
  <c r="N113" i="20"/>
  <c r="N115" i="20"/>
  <c r="N116" i="20"/>
  <c r="N117" i="20"/>
  <c r="N120" i="20"/>
  <c r="N122" i="20"/>
  <c r="N123" i="20"/>
  <c r="N124" i="20"/>
  <c r="N125" i="20"/>
  <c r="N126" i="20"/>
  <c r="N131" i="20"/>
  <c r="N132" i="20"/>
  <c r="N133" i="20"/>
  <c r="N136" i="20"/>
  <c r="N138" i="20"/>
  <c r="N140" i="20"/>
  <c r="N141" i="20"/>
  <c r="N144" i="20"/>
  <c r="N146" i="20"/>
  <c r="N147" i="20"/>
  <c r="N149" i="20"/>
  <c r="N152" i="20"/>
  <c r="N154" i="20"/>
  <c r="N156" i="20"/>
  <c r="N159" i="20"/>
  <c r="N160" i="20"/>
  <c r="N161" i="20"/>
  <c r="N162" i="20"/>
  <c r="N163" i="20"/>
  <c r="N164" i="20"/>
  <c r="N166" i="20"/>
  <c r="N167" i="20"/>
  <c r="N168" i="20"/>
  <c r="N170" i="20"/>
  <c r="N171" i="20"/>
  <c r="N172" i="20"/>
  <c r="N175" i="20"/>
  <c r="N176" i="20"/>
  <c r="N177" i="20"/>
  <c r="N179" i="20"/>
  <c r="N180" i="20"/>
  <c r="N182" i="20"/>
  <c r="N184" i="20"/>
  <c r="N186" i="20"/>
  <c r="N188" i="20"/>
  <c r="N191" i="20"/>
  <c r="N193" i="20"/>
  <c r="N194" i="20"/>
  <c r="N195" i="20"/>
  <c r="N196" i="20"/>
  <c r="N198" i="20"/>
  <c r="N199" i="20"/>
  <c r="N200" i="20"/>
  <c r="N202" i="20"/>
  <c r="N203" i="20"/>
  <c r="N204" i="20"/>
  <c r="N207" i="20"/>
  <c r="N208" i="20"/>
  <c r="N209" i="20"/>
  <c r="N211" i="20"/>
  <c r="N212" i="20"/>
  <c r="N214" i="20"/>
  <c r="N216" i="20"/>
  <c r="N218" i="20"/>
  <c r="N220" i="20"/>
  <c r="N222" i="20"/>
  <c r="N223" i="20"/>
  <c r="N224" i="20"/>
  <c r="N225" i="20"/>
  <c r="N227" i="20"/>
  <c r="N228" i="20"/>
  <c r="N230" i="20"/>
  <c r="N231" i="20"/>
  <c r="N232" i="20"/>
  <c r="N234" i="20"/>
  <c r="N235" i="20"/>
  <c r="N236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/>
  <c r="O33" i="20" a="1"/>
  <c r="O33" i="20" s="1"/>
  <c r="O34" i="20" a="1"/>
  <c r="O34" i="20" s="1"/>
  <c r="O35" i="20" a="1"/>
  <c r="O35" i="20" s="1"/>
  <c r="O36" i="20" a="1"/>
  <c r="O36" i="20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/>
  <c r="O43" i="20" a="1"/>
  <c r="O43" i="20"/>
  <c r="O44" i="20" a="1"/>
  <c r="O44" i="20" s="1"/>
  <c r="O45" i="20" a="1"/>
  <c r="O45" i="20" s="1"/>
  <c r="O46" i="20" a="1"/>
  <c r="O46" i="20" s="1"/>
  <c r="O47" i="20" a="1"/>
  <c r="O47" i="20" s="1"/>
  <c r="O48" i="20" a="1"/>
  <c r="O48" i="20"/>
  <c r="O49" i="20" a="1"/>
  <c r="O49" i="20" s="1"/>
  <c r="O50" i="20" a="1"/>
  <c r="O50" i="20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/>
  <c r="O63" i="20" a="1"/>
  <c r="O63" i="20" s="1"/>
  <c r="O64" i="20" a="1"/>
  <c r="O64" i="20" s="1"/>
  <c r="O65" i="20" a="1"/>
  <c r="O65" i="20" s="1"/>
  <c r="O66" i="20" a="1"/>
  <c r="O66" i="20"/>
  <c r="O67" i="20" a="1"/>
  <c r="O67" i="20"/>
  <c r="O68" i="20" a="1"/>
  <c r="O68" i="20"/>
  <c r="O69" i="20" a="1"/>
  <c r="O69" i="20" s="1"/>
  <c r="O70" i="20" a="1"/>
  <c r="O70" i="20" s="1"/>
  <c r="O71" i="20" a="1"/>
  <c r="O71" i="20"/>
  <c r="O72" i="20" a="1"/>
  <c r="O72" i="20" s="1"/>
  <c r="O73" i="20" a="1"/>
  <c r="O73" i="20" s="1"/>
  <c r="O74" i="20" a="1"/>
  <c r="O74" i="20"/>
  <c r="O75" i="20" a="1"/>
  <c r="O75" i="20" s="1"/>
  <c r="O76" i="20" a="1"/>
  <c r="O76" i="20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/>
  <c r="O91" i="20" a="1"/>
  <c r="O91" i="20"/>
  <c r="O92" i="20" a="1"/>
  <c r="O92" i="20" s="1"/>
  <c r="O93" i="20" a="1"/>
  <c r="O93" i="20" s="1"/>
  <c r="O94" i="20" a="1"/>
  <c r="O94" i="20"/>
  <c r="O95" i="20" a="1"/>
  <c r="O95" i="20" s="1"/>
  <c r="O96" i="20" a="1"/>
  <c r="O96" i="20" s="1"/>
  <c r="O97" i="20" a="1"/>
  <c r="O97" i="20" s="1"/>
  <c r="O98" i="20" a="1"/>
  <c r="O98" i="20"/>
  <c r="O99" i="20" a="1"/>
  <c r="O99" i="20"/>
  <c r="O100" i="20" a="1"/>
  <c r="O100" i="20" s="1"/>
  <c r="O101" i="20" a="1"/>
  <c r="O101" i="20" s="1"/>
  <c r="O102" i="20" a="1"/>
  <c r="O102" i="20" s="1"/>
  <c r="O103" i="20" a="1"/>
  <c r="O103" i="20"/>
  <c r="O104" i="20" a="1"/>
  <c r="O104" i="20" s="1"/>
  <c r="O105" i="20" a="1"/>
  <c r="O105" i="20" s="1"/>
  <c r="O106" i="20" a="1"/>
  <c r="O106" i="20" s="1"/>
  <c r="O107" i="20" a="1"/>
  <c r="O107" i="20"/>
  <c r="O108" i="20" a="1"/>
  <c r="O108" i="20"/>
  <c r="O109" i="20" a="1"/>
  <c r="O109" i="20" s="1"/>
  <c r="O110" i="20" a="1"/>
  <c r="O110" i="20"/>
  <c r="O111" i="20" a="1"/>
  <c r="O111" i="20" s="1"/>
  <c r="O112" i="20" a="1"/>
  <c r="O112" i="20"/>
  <c r="O113" i="20" a="1"/>
  <c r="O113" i="20" s="1"/>
  <c r="O114" i="20" a="1"/>
  <c r="O114" i="20" s="1"/>
  <c r="O115" i="20" a="1"/>
  <c r="O115" i="20"/>
  <c r="O116" i="20" a="1"/>
  <c r="O116" i="20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/>
  <c r="O131" i="20" a="1"/>
  <c r="O131" i="20" s="1"/>
  <c r="O132" i="20" a="1"/>
  <c r="O132" i="20"/>
  <c r="O133" i="20" a="1"/>
  <c r="O133" i="20" s="1"/>
  <c r="O134" i="20" a="1"/>
  <c r="O134" i="20" s="1"/>
  <c r="O135" i="20" a="1"/>
  <c r="O135" i="20"/>
  <c r="O136" i="20" a="1"/>
  <c r="O136" i="20" s="1"/>
  <c r="O137" i="20" a="1"/>
  <c r="O137" i="20" s="1"/>
  <c r="O138" i="20" a="1"/>
  <c r="O138" i="20"/>
  <c r="O139" i="20" a="1"/>
  <c r="O139" i="20"/>
  <c r="O140" i="20" a="1"/>
  <c r="O140" i="20"/>
  <c r="O141" i="20" a="1"/>
  <c r="O141" i="20" s="1"/>
  <c r="O142" i="20" a="1"/>
  <c r="O142" i="20"/>
  <c r="O143" i="20" a="1"/>
  <c r="O143" i="20" s="1"/>
  <c r="O144" i="20" a="1"/>
  <c r="O144" i="20"/>
  <c r="O145" i="20" a="1"/>
  <c r="O145" i="20" s="1"/>
  <c r="O146" i="20" a="1"/>
  <c r="O146" i="20"/>
  <c r="O147" i="20" a="1"/>
  <c r="O147" i="20"/>
  <c r="O148" i="20" a="1"/>
  <c r="O148" i="20" s="1"/>
  <c r="O149" i="20" a="1"/>
  <c r="O149" i="20" s="1"/>
  <c r="O150" i="20" a="1"/>
  <c r="O150" i="20" s="1"/>
  <c r="O151" i="20" a="1"/>
  <c r="O151" i="20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/>
  <c r="O164" i="20" a="1"/>
  <c r="O164" i="20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/>
  <c r="O171" i="20" a="1"/>
  <c r="O171" i="20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/>
  <c r="O177" i="20" a="1"/>
  <c r="O177" i="20" s="1"/>
  <c r="O178" i="20" a="1"/>
  <c r="O178" i="20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/>
  <c r="O184" i="20" a="1"/>
  <c r="O184" i="20" s="1"/>
  <c r="O185" i="20" a="1"/>
  <c r="O185" i="20" s="1"/>
  <c r="O186" i="20" a="1"/>
  <c r="O186" i="20" s="1"/>
  <c r="O187" i="20" a="1"/>
  <c r="O187" i="20"/>
  <c r="O188" i="20" a="1"/>
  <c r="O188" i="20"/>
  <c r="O189" i="20" a="1"/>
  <c r="O189" i="20" s="1"/>
  <c r="O190" i="20" a="1"/>
  <c r="O190" i="20"/>
  <c r="O191" i="20" a="1"/>
  <c r="O191" i="20" s="1"/>
  <c r="O192" i="20" a="1"/>
  <c r="O192" i="20"/>
  <c r="O193" i="20" a="1"/>
  <c r="O193" i="20" s="1"/>
  <c r="O194" i="20" a="1"/>
  <c r="O194" i="20"/>
  <c r="O195" i="20" a="1"/>
  <c r="O195" i="20"/>
  <c r="O196" i="20" a="1"/>
  <c r="O196" i="20"/>
  <c r="O197" i="20" a="1"/>
  <c r="O197" i="20" s="1"/>
  <c r="O198" i="20" a="1"/>
  <c r="O198" i="20" s="1"/>
  <c r="O199" i="20" a="1"/>
  <c r="O199" i="20"/>
  <c r="O200" i="20" a="1"/>
  <c r="O200" i="20" s="1"/>
  <c r="O201" i="20" a="1"/>
  <c r="O201" i="20" s="1"/>
  <c r="O202" i="20" a="1"/>
  <c r="O202" i="20"/>
  <c r="O203" i="20" a="1"/>
  <c r="O203" i="20" s="1"/>
  <c r="O204" i="20" a="1"/>
  <c r="O204" i="20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/>
  <c r="O219" i="20" a="1"/>
  <c r="O219" i="20"/>
  <c r="O220" i="20" a="1"/>
  <c r="O220" i="20" s="1"/>
  <c r="O221" i="20" a="1"/>
  <c r="O221" i="20" s="1"/>
  <c r="O222" i="20" a="1"/>
  <c r="O222" i="20"/>
  <c r="O223" i="20" a="1"/>
  <c r="O223" i="20" s="1"/>
  <c r="O224" i="20" a="1"/>
  <c r="O224" i="20"/>
  <c r="O225" i="20" a="1"/>
  <c r="O225" i="20" s="1"/>
  <c r="O226" i="20" a="1"/>
  <c r="O226" i="20"/>
  <c r="O227" i="20" a="1"/>
  <c r="O227" i="20"/>
  <c r="O228" i="20" a="1"/>
  <c r="O228" i="20" s="1"/>
  <c r="O229" i="20" a="1"/>
  <c r="O229" i="20" s="1"/>
  <c r="O230" i="20" a="1"/>
  <c r="O230" i="20" s="1"/>
  <c r="O231" i="20" a="1"/>
  <c r="O231" i="20"/>
  <c r="O232" i="20" a="1"/>
  <c r="O232" i="20" s="1"/>
  <c r="O233" i="20" a="1"/>
  <c r="O233" i="20" s="1"/>
  <c r="O234" i="20" a="1"/>
  <c r="O234" i="20" s="1"/>
  <c r="O235" i="20" a="1"/>
  <c r="O235" i="20"/>
  <c r="O236" i="20" a="1"/>
  <c r="O236" i="20"/>
  <c r="O237" i="20" a="1"/>
  <c r="O237" i="20" s="1"/>
  <c r="P2" i="20" a="1"/>
  <c r="P2" i="20"/>
  <c r="P3" i="20" a="1"/>
  <c r="P3" i="20" s="1"/>
  <c r="P4" i="20" a="1"/>
  <c r="P4" i="20"/>
  <c r="P5" i="20" a="1"/>
  <c r="P5" i="20" s="1"/>
  <c r="P6" i="20" a="1"/>
  <c r="P6" i="20" s="1"/>
  <c r="P7" i="20" a="1"/>
  <c r="P7" i="20"/>
  <c r="P8" i="20" a="1"/>
  <c r="P8" i="20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/>
  <c r="P23" i="20" a="1"/>
  <c r="P23" i="20" s="1"/>
  <c r="P24" i="20" a="1"/>
  <c r="P24" i="20"/>
  <c r="P25" i="20" a="1"/>
  <c r="P25" i="20" s="1"/>
  <c r="P26" i="20" a="1"/>
  <c r="P26" i="20" s="1"/>
  <c r="P27" i="20" a="1"/>
  <c r="P27" i="20"/>
  <c r="P28" i="20" a="1"/>
  <c r="P28" i="20" s="1"/>
  <c r="P29" i="20" a="1"/>
  <c r="P29" i="20" s="1"/>
  <c r="P30" i="20" a="1"/>
  <c r="P30" i="20"/>
  <c r="P31" i="20" a="1"/>
  <c r="P31" i="20"/>
  <c r="P32" i="20" a="1"/>
  <c r="P32" i="20"/>
  <c r="P33" i="20" a="1"/>
  <c r="P33" i="20" s="1"/>
  <c r="P34" i="20" a="1"/>
  <c r="P34" i="20"/>
  <c r="P35" i="20" a="1"/>
  <c r="P35" i="20" s="1"/>
  <c r="P36" i="20" a="1"/>
  <c r="P36" i="20"/>
  <c r="P37" i="20" a="1"/>
  <c r="P37" i="20" s="1"/>
  <c r="P38" i="20" a="1"/>
  <c r="P38" i="20"/>
  <c r="P39" i="20" a="1"/>
  <c r="P39" i="20"/>
  <c r="P40" i="20" a="1"/>
  <c r="P40" i="20" s="1"/>
  <c r="P41" i="20" a="1"/>
  <c r="P41" i="20" s="1"/>
  <c r="P42" i="20" a="1"/>
  <c r="P42" i="20"/>
  <c r="P43" i="20" a="1"/>
  <c r="P43" i="20"/>
  <c r="P44" i="20" a="1"/>
  <c r="P44" i="20" s="1"/>
  <c r="P45" i="20" a="1"/>
  <c r="P45" i="20" s="1"/>
  <c r="P46" i="20" a="1"/>
  <c r="P46" i="20"/>
  <c r="P47" i="20" a="1"/>
  <c r="P47" i="20" s="1"/>
  <c r="P48" i="20" a="1"/>
  <c r="P48" i="20" s="1"/>
  <c r="P49" i="20" a="1"/>
  <c r="P49" i="20" s="1"/>
  <c r="P50" i="20" a="1"/>
  <c r="P50" i="20"/>
  <c r="P51" i="20" a="1"/>
  <c r="P51" i="20" s="1"/>
  <c r="P52" i="20" a="1"/>
  <c r="P52" i="20"/>
  <c r="P53" i="20" a="1"/>
  <c r="P53" i="20"/>
  <c r="P54" i="20" a="1"/>
  <c r="P54" i="20"/>
  <c r="P55" i="20" a="1"/>
  <c r="P55" i="20" s="1"/>
  <c r="P56" i="20" a="1"/>
  <c r="P56" i="20" s="1"/>
  <c r="P57" i="20" a="1"/>
  <c r="P57" i="20" s="1"/>
  <c r="P58" i="20" a="1"/>
  <c r="P58" i="20"/>
  <c r="P59" i="20" a="1"/>
  <c r="P59" i="20" s="1"/>
  <c r="P60" i="20" a="1"/>
  <c r="P60" i="20"/>
  <c r="P61" i="20" a="1"/>
  <c r="P61" i="20" s="1"/>
  <c r="P62" i="20" a="1"/>
  <c r="P62" i="20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/>
  <c r="P71" i="20" a="1"/>
  <c r="P71" i="20" s="1"/>
  <c r="P72" i="20" a="1"/>
  <c r="P72" i="20" s="1"/>
  <c r="P73" i="20" a="1"/>
  <c r="P73" i="20" s="1"/>
  <c r="P74" i="20" a="1"/>
  <c r="P74" i="20"/>
  <c r="P75" i="20" a="1"/>
  <c r="P75" i="20" s="1"/>
  <c r="P76" i="20" a="1"/>
  <c r="P76" i="20"/>
  <c r="P77" i="20" a="1"/>
  <c r="P77" i="20" s="1"/>
  <c r="P78" i="20" a="1"/>
  <c r="P78" i="20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/>
  <c r="P87" i="20" a="1"/>
  <c r="P87" i="20" s="1"/>
  <c r="P88" i="20" a="1"/>
  <c r="P88" i="20" s="1"/>
  <c r="P89" i="20" a="1"/>
  <c r="P89" i="20" s="1"/>
  <c r="P90" i="20" a="1"/>
  <c r="P90" i="20"/>
  <c r="P91" i="20" a="1"/>
  <c r="P91" i="20" s="1"/>
  <c r="P92" i="20" a="1"/>
  <c r="P92" i="20"/>
  <c r="P93" i="20" a="1"/>
  <c r="P93" i="20" s="1"/>
  <c r="P94" i="20" a="1"/>
  <c r="P94" i="20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/>
  <c r="P103" i="20" a="1"/>
  <c r="P103" i="20" s="1"/>
  <c r="P104" i="20" a="1"/>
  <c r="P104" i="20" s="1"/>
  <c r="P105" i="20" a="1"/>
  <c r="P105" i="20" s="1"/>
  <c r="P106" i="20" a="1"/>
  <c r="P106" i="20"/>
  <c r="P107" i="20" a="1"/>
  <c r="P107" i="20" s="1"/>
  <c r="P108" i="20" a="1"/>
  <c r="P108" i="20"/>
  <c r="P109" i="20" a="1"/>
  <c r="P109" i="20" s="1"/>
  <c r="P110" i="20" a="1"/>
  <c r="P110" i="20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/>
  <c r="P119" i="20" a="1"/>
  <c r="P119" i="20" s="1"/>
  <c r="P120" i="20" a="1"/>
  <c r="P120" i="20" s="1"/>
  <c r="P121" i="20" a="1"/>
  <c r="P121" i="20" s="1"/>
  <c r="P122" i="20" a="1"/>
  <c r="P122" i="20"/>
  <c r="P123" i="20" a="1"/>
  <c r="P123" i="20" s="1"/>
  <c r="P124" i="20" a="1"/>
  <c r="P124" i="20"/>
  <c r="P125" i="20" a="1"/>
  <c r="P125" i="20" s="1"/>
  <c r="P126" i="20" a="1"/>
  <c r="P126" i="20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 s="1"/>
  <c r="P137" i="20" a="1"/>
  <c r="P137" i="20" s="1"/>
  <c r="P138" i="20" a="1"/>
  <c r="P138" i="20"/>
  <c r="P139" i="20" a="1"/>
  <c r="P139" i="20" s="1"/>
  <c r="P140" i="20" a="1"/>
  <c r="P140" i="20"/>
  <c r="P141" i="20" a="1"/>
  <c r="P141" i="20" s="1"/>
  <c r="P142" i="20" a="1"/>
  <c r="P142" i="20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/>
  <c r="P151" i="20" a="1"/>
  <c r="P151" i="20" s="1"/>
  <c r="P152" i="20" a="1"/>
  <c r="P152" i="20" s="1"/>
  <c r="P153" i="20" a="1"/>
  <c r="P153" i="20" s="1"/>
  <c r="P154" i="20" a="1"/>
  <c r="P154" i="20"/>
  <c r="P155" i="20" a="1"/>
  <c r="P155" i="20" s="1"/>
  <c r="P156" i="20" a="1"/>
  <c r="P156" i="20"/>
  <c r="P157" i="20" a="1"/>
  <c r="P157" i="20" s="1"/>
  <c r="P158" i="20" a="1"/>
  <c r="P158" i="20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M2" i="18"/>
  <c r="M3" i="18"/>
  <c r="O6" i="18" s="1" a="1"/>
  <c r="O6" i="18" s="1"/>
  <c r="M4" i="18"/>
  <c r="M5" i="18"/>
  <c r="M6" i="18"/>
  <c r="M7" i="18"/>
  <c r="M8" i="18"/>
  <c r="M9" i="18"/>
  <c r="M10" i="18"/>
  <c r="M11" i="18"/>
  <c r="O11" i="18" s="1" a="1"/>
  <c r="O11" i="18" s="1"/>
  <c r="M12" i="18"/>
  <c r="M13" i="18"/>
  <c r="M14" i="18"/>
  <c r="M15" i="18"/>
  <c r="M16" i="18"/>
  <c r="M17" i="18"/>
  <c r="M18" i="18"/>
  <c r="M19" i="18"/>
  <c r="O2" i="18" s="1" a="1"/>
  <c r="O2" i="18" s="1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O16" i="18" s="1" a="1"/>
  <c r="O16" i="18" s="1"/>
  <c r="M37" i="18"/>
  <c r="M38" i="18"/>
  <c r="M39" i="18"/>
  <c r="M40" i="18"/>
  <c r="M41" i="18"/>
  <c r="M42" i="18"/>
  <c r="M43" i="18"/>
  <c r="M44" i="18"/>
  <c r="O30" i="18" s="1" a="1"/>
  <c r="O30" i="18" s="1"/>
  <c r="M45" i="18"/>
  <c r="M46" i="18"/>
  <c r="M47" i="18"/>
  <c r="M48" i="18"/>
  <c r="M49" i="18"/>
  <c r="M50" i="18"/>
  <c r="M51" i="18"/>
  <c r="M52" i="18"/>
  <c r="M53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O4" i="18" a="1"/>
  <c r="O4" i="18" s="1"/>
  <c r="O14" i="18" a="1"/>
  <c r="O14" i="18" s="1"/>
  <c r="O15" i="18" a="1"/>
  <c r="O15" i="18" s="1"/>
  <c r="O23" i="18" a="1"/>
  <c r="O23" i="18" s="1"/>
  <c r="O24" i="18" a="1"/>
  <c r="O24" i="18" s="1"/>
  <c r="O27" i="18" a="1"/>
  <c r="O27" i="18" s="1"/>
  <c r="O31" i="18" a="1"/>
  <c r="O31" i="18" s="1"/>
  <c r="O32" i="18" a="1"/>
  <c r="O32" i="18" s="1"/>
  <c r="O35" i="18" a="1"/>
  <c r="O35" i="18" s="1"/>
  <c r="O38" i="18" a="1"/>
  <c r="O38" i="18" s="1"/>
  <c r="O39" i="18" a="1"/>
  <c r="O39" i="18" s="1"/>
  <c r="O40" i="18" a="1"/>
  <c r="O40" i="18" s="1"/>
  <c r="O42" i="18" a="1"/>
  <c r="O42" i="18" s="1"/>
  <c r="O43" i="18" a="1"/>
  <c r="O43" i="18" s="1"/>
  <c r="O44" i="18" a="1"/>
  <c r="O44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R52" i="18" s="1"/>
  <c r="U52" i="18" s="1"/>
  <c r="P53" i="18" a="1"/>
  <c r="P53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R8" i="18" s="1"/>
  <c r="U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R16" i="18" s="1"/>
  <c r="U16" i="18" s="1"/>
  <c r="Q17" i="18" a="1"/>
  <c r="Q17" i="18" s="1"/>
  <c r="Q18" i="18" a="1"/>
  <c r="Q18" i="18" s="1"/>
  <c r="Q19" i="18" a="1"/>
  <c r="Q19" i="18" s="1"/>
  <c r="Q20" i="18" a="1"/>
  <c r="Q20" i="18" s="1"/>
  <c r="R20" i="18" s="1"/>
  <c r="U20" i="18" s="1"/>
  <c r="Q21" i="18" a="1"/>
  <c r="Q21" i="18" s="1"/>
  <c r="Q22" i="18" a="1"/>
  <c r="Q22" i="18" s="1"/>
  <c r="Q23" i="18" a="1"/>
  <c r="Q23" i="18" s="1"/>
  <c r="Q24" i="18" a="1"/>
  <c r="Q24" i="18" s="1"/>
  <c r="R24" i="18" s="1"/>
  <c r="U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R32" i="18" s="1"/>
  <c r="U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R40" i="18" s="1"/>
  <c r="U40" i="18" s="1"/>
  <c r="Q41" i="18" a="1"/>
  <c r="Q41" i="18" s="1"/>
  <c r="Q42" i="18" a="1"/>
  <c r="Q42" i="18" s="1"/>
  <c r="R42" i="18" s="1"/>
  <c r="U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R48" i="18" s="1"/>
  <c r="U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R2" i="18"/>
  <c r="R4" i="18"/>
  <c r="R6" i="18"/>
  <c r="R10" i="18"/>
  <c r="R12" i="18"/>
  <c r="R14" i="18"/>
  <c r="R18" i="18"/>
  <c r="R22" i="18"/>
  <c r="R26" i="18"/>
  <c r="R28" i="18"/>
  <c r="R30" i="18"/>
  <c r="R34" i="18"/>
  <c r="R36" i="18"/>
  <c r="R38" i="18"/>
  <c r="R44" i="18"/>
  <c r="R46" i="18"/>
  <c r="R50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/>
  <c r="T2" i="18" a="1"/>
  <c r="T2" i="18" s="1"/>
  <c r="T3" i="18" a="1"/>
  <c r="T3" i="18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U2" i="18"/>
  <c r="U4" i="18"/>
  <c r="U6" i="18"/>
  <c r="U10" i="18"/>
  <c r="U12" i="18"/>
  <c r="U14" i="18"/>
  <c r="U18" i="18"/>
  <c r="U22" i="18"/>
  <c r="U26" i="18"/>
  <c r="U28" i="18"/>
  <c r="U30" i="18"/>
  <c r="U34" i="18"/>
  <c r="U36" i="18"/>
  <c r="U38" i="18"/>
  <c r="U44" i="18"/>
  <c r="U46" i="18"/>
  <c r="U50" i="18"/>
  <c r="L2" i="17"/>
  <c r="L3" i="17"/>
  <c r="L4" i="17"/>
  <c r="L5" i="17"/>
  <c r="L18" i="17"/>
  <c r="L19" i="17"/>
  <c r="L20" i="17"/>
  <c r="L21" i="17"/>
  <c r="L22" i="17"/>
  <c r="L23" i="17"/>
  <c r="L42" i="17"/>
  <c r="L43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N61" i="17" s="1" a="1"/>
  <c r="N61" i="17" s="1"/>
  <c r="L98" i="17"/>
  <c r="L99" i="17"/>
  <c r="L100" i="17"/>
  <c r="L101" i="17"/>
  <c r="L102" i="17"/>
  <c r="L103" i="17"/>
  <c r="L122" i="17"/>
  <c r="L123" i="17"/>
  <c r="L130" i="17"/>
  <c r="L131" i="17"/>
  <c r="L132" i="17"/>
  <c r="L133" i="17"/>
  <c r="L134" i="17"/>
  <c r="L135" i="17"/>
  <c r="L154" i="17"/>
  <c r="L155" i="17"/>
  <c r="L6" i="17"/>
  <c r="L7" i="17"/>
  <c r="L8" i="17"/>
  <c r="L9" i="17"/>
  <c r="L24" i="17"/>
  <c r="L25" i="17"/>
  <c r="L26" i="17"/>
  <c r="L27" i="17"/>
  <c r="L28" i="17"/>
  <c r="L29" i="17"/>
  <c r="L44" i="17"/>
  <c r="L45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N73" i="17" s="1" a="1"/>
  <c r="N73" i="17" s="1"/>
  <c r="L104" i="17"/>
  <c r="L105" i="17"/>
  <c r="L106" i="17"/>
  <c r="L107" i="17"/>
  <c r="L108" i="17"/>
  <c r="L109" i="17"/>
  <c r="L124" i="17"/>
  <c r="L125" i="17"/>
  <c r="L136" i="17"/>
  <c r="L137" i="17"/>
  <c r="L138" i="17"/>
  <c r="L139" i="17"/>
  <c r="L140" i="17"/>
  <c r="L141" i="17"/>
  <c r="L156" i="17"/>
  <c r="L157" i="17"/>
  <c r="L10" i="17"/>
  <c r="L11" i="17"/>
  <c r="L12" i="17"/>
  <c r="L13" i="17"/>
  <c r="L30" i="17"/>
  <c r="L31" i="17"/>
  <c r="L32" i="17"/>
  <c r="L33" i="17"/>
  <c r="L34" i="17"/>
  <c r="L35" i="17"/>
  <c r="L46" i="17"/>
  <c r="L47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110" i="17"/>
  <c r="L111" i="17"/>
  <c r="L112" i="17"/>
  <c r="L113" i="17"/>
  <c r="L114" i="17"/>
  <c r="L115" i="17"/>
  <c r="L126" i="17"/>
  <c r="L127" i="17"/>
  <c r="N127" i="17" s="1" a="1"/>
  <c r="N127" i="17" s="1"/>
  <c r="L142" i="17"/>
  <c r="L143" i="17"/>
  <c r="L144" i="17"/>
  <c r="L145" i="17"/>
  <c r="L146" i="17"/>
  <c r="L147" i="17"/>
  <c r="L158" i="17"/>
  <c r="L159" i="17"/>
  <c r="N159" i="17" s="1" a="1"/>
  <c r="N159" i="17" s="1"/>
  <c r="L14" i="17"/>
  <c r="L15" i="17"/>
  <c r="L16" i="17"/>
  <c r="L17" i="17"/>
  <c r="L36" i="17"/>
  <c r="L37" i="17"/>
  <c r="L38" i="17"/>
  <c r="L39" i="17"/>
  <c r="O23" i="17" s="1" a="1"/>
  <c r="O23" i="17" s="1"/>
  <c r="L40" i="17"/>
  <c r="L41" i="17"/>
  <c r="L48" i="17"/>
  <c r="L49" i="17"/>
  <c r="L86" i="17"/>
  <c r="L87" i="17"/>
  <c r="L88" i="17"/>
  <c r="L89" i="17"/>
  <c r="N89" i="17" s="1" a="1"/>
  <c r="N89" i="17" s="1"/>
  <c r="L90" i="17"/>
  <c r="L91" i="17"/>
  <c r="L92" i="17"/>
  <c r="L93" i="17"/>
  <c r="L94" i="17"/>
  <c r="L95" i="17"/>
  <c r="L96" i="17"/>
  <c r="L97" i="17"/>
  <c r="N97" i="17" s="1" a="1"/>
  <c r="N97" i="17" s="1"/>
  <c r="L116" i="17"/>
  <c r="L117" i="17"/>
  <c r="L118" i="17"/>
  <c r="L119" i="17"/>
  <c r="L120" i="17"/>
  <c r="L121" i="17"/>
  <c r="L128" i="17"/>
  <c r="L129" i="17"/>
  <c r="N129" i="17" s="1" a="1"/>
  <c r="N129" i="17" s="1"/>
  <c r="L148" i="17"/>
  <c r="L149" i="17"/>
  <c r="L150" i="17"/>
  <c r="L151" i="17"/>
  <c r="L152" i="17"/>
  <c r="L153" i="17"/>
  <c r="L160" i="17"/>
  <c r="L161" i="17"/>
  <c r="N161" i="17" s="1" a="1"/>
  <c r="N161" i="17" s="1"/>
  <c r="M2" i="17" a="1"/>
  <c r="M2" i="17" s="1"/>
  <c r="M3" i="17" a="1"/>
  <c r="M3" i="17" s="1"/>
  <c r="M4" i="17" a="1"/>
  <c r="M4" i="17" s="1"/>
  <c r="M5" i="17" a="1"/>
  <c r="M5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42" i="17" a="1"/>
  <c r="M42" i="17" s="1"/>
  <c r="M43" i="17" a="1"/>
  <c r="M43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Y60" i="17" s="1"/>
  <c r="M61" i="17" a="1"/>
  <c r="M61" i="17" s="1"/>
  <c r="M98" i="17" a="1"/>
  <c r="M98" i="17" s="1"/>
  <c r="M99" i="17" a="1"/>
  <c r="M99" i="17" s="1"/>
  <c r="M100" i="17" a="1"/>
  <c r="M100" i="17"/>
  <c r="M101" i="17" a="1"/>
  <c r="M101" i="17" s="1"/>
  <c r="M102" i="17" a="1"/>
  <c r="M102" i="17" s="1"/>
  <c r="M103" i="17" a="1"/>
  <c r="M103" i="17" s="1"/>
  <c r="M122" i="17" a="1"/>
  <c r="M122" i="17" s="1"/>
  <c r="M123" i="17" a="1"/>
  <c r="M123" i="17" s="1"/>
  <c r="M130" i="17" a="1"/>
  <c r="M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154" i="17" a="1"/>
  <c r="M154" i="17"/>
  <c r="M155" i="17" a="1"/>
  <c r="M155" i="17" s="1"/>
  <c r="M6" i="17" a="1"/>
  <c r="M6" i="17" s="1"/>
  <c r="M7" i="17" a="1"/>
  <c r="M7" i="17" s="1"/>
  <c r="M8" i="17" a="1"/>
  <c r="M8" i="17" s="1"/>
  <c r="M9" i="17" a="1"/>
  <c r="M9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44" i="17" a="1"/>
  <c r="M44" i="17" s="1"/>
  <c r="M45" i="17" a="1"/>
  <c r="M45" i="17" s="1"/>
  <c r="M62" i="17" a="1"/>
  <c r="M62" i="17" s="1"/>
  <c r="M63" i="17" a="1"/>
  <c r="M63" i="17" s="1"/>
  <c r="M64" i="17" a="1"/>
  <c r="M64" i="17"/>
  <c r="M65" i="17" a="1"/>
  <c r="M65" i="17" s="1"/>
  <c r="M66" i="17" a="1"/>
  <c r="M66" i="17" s="1"/>
  <c r="M67" i="17" a="1"/>
  <c r="M67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24" i="17" a="1"/>
  <c r="M124" i="17" s="1"/>
  <c r="M125" i="17" a="1"/>
  <c r="M125" i="17" s="1"/>
  <c r="M136" i="17" a="1"/>
  <c r="M136" i="17" s="1"/>
  <c r="M137" i="17" a="1"/>
  <c r="M137" i="17" s="1"/>
  <c r="M138" i="17" a="1"/>
  <c r="M138" i="17" s="1"/>
  <c r="M139" i="17" a="1"/>
  <c r="M139" i="17" s="1"/>
  <c r="M140" i="17" a="1"/>
  <c r="M140" i="17" s="1"/>
  <c r="M141" i="17" a="1"/>
  <c r="M141" i="17" s="1"/>
  <c r="M156" i="17" a="1"/>
  <c r="M156" i="17" s="1"/>
  <c r="M157" i="17" a="1"/>
  <c r="M157" i="17" s="1"/>
  <c r="M10" i="17" a="1"/>
  <c r="M10" i="17" s="1"/>
  <c r="M11" i="17" a="1"/>
  <c r="M11" i="17" s="1"/>
  <c r="M12" i="17" a="1"/>
  <c r="M12" i="17" s="1"/>
  <c r="M13" i="17" a="1"/>
  <c r="M13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46" i="17" a="1"/>
  <c r="M46" i="17"/>
  <c r="M47" i="17" a="1"/>
  <c r="M47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10" i="17" a="1"/>
  <c r="M110" i="17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126" i="17" a="1"/>
  <c r="M126" i="17" s="1"/>
  <c r="M127" i="17" a="1"/>
  <c r="M127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158" i="17" a="1"/>
  <c r="M158" i="17" s="1"/>
  <c r="M159" i="17" a="1"/>
  <c r="M159" i="17" s="1"/>
  <c r="M14" i="17" a="1"/>
  <c r="M14" i="17" s="1"/>
  <c r="M15" i="17" a="1"/>
  <c r="M15" i="17" s="1"/>
  <c r="M16" i="17" a="1"/>
  <c r="M16" i="17" s="1"/>
  <c r="M17" i="17" a="1"/>
  <c r="M17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48" i="17" a="1"/>
  <c r="M48" i="17" s="1"/>
  <c r="M49" i="17" a="1"/>
  <c r="M4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128" i="17" a="1"/>
  <c r="M128" i="17" s="1"/>
  <c r="M129" i="17" a="1"/>
  <c r="M129" i="17" s="1"/>
  <c r="M148" i="17" a="1"/>
  <c r="M148" i="17"/>
  <c r="M149" i="17" a="1"/>
  <c r="M149" i="17" s="1"/>
  <c r="M150" i="17" a="1"/>
  <c r="M150" i="17" s="1"/>
  <c r="M151" i="17" a="1"/>
  <c r="M151" i="17" s="1"/>
  <c r="M152" i="17" a="1"/>
  <c r="M152" i="17" s="1"/>
  <c r="M153" i="17" a="1"/>
  <c r="M153" i="17" s="1"/>
  <c r="M160" i="17" a="1"/>
  <c r="M160" i="17" s="1"/>
  <c r="M161" i="17" a="1"/>
  <c r="M161" i="17" s="1"/>
  <c r="N21" i="17" a="1"/>
  <c r="N21" i="17" s="1"/>
  <c r="N30" i="17" a="1"/>
  <c r="N30" i="17" s="1"/>
  <c r="N142" i="17" a="1"/>
  <c r="N142" i="17" s="1"/>
  <c r="N40" i="17" a="1"/>
  <c r="N40" i="17" s="1"/>
  <c r="N90" i="17" a="1"/>
  <c r="N90" i="17" s="1"/>
  <c r="N116" i="17" a="1"/>
  <c r="N116" i="17" s="1"/>
  <c r="N148" i="17" a="1"/>
  <c r="N148" i="17" s="1"/>
  <c r="O2" i="17" a="1"/>
  <c r="O2" i="17" s="1"/>
  <c r="O22" i="17" a="1"/>
  <c r="O22" i="17" s="1"/>
  <c r="O53" i="17" a="1"/>
  <c r="O53" i="17" s="1"/>
  <c r="O61" i="17" a="1"/>
  <c r="O61" i="17" s="1"/>
  <c r="O122" i="17" a="1"/>
  <c r="O122" i="17" s="1"/>
  <c r="O123" i="17" a="1"/>
  <c r="O123" i="17" s="1"/>
  <c r="O131" i="17" a="1"/>
  <c r="O131" i="17" s="1"/>
  <c r="O132" i="17" a="1"/>
  <c r="O132" i="17" s="1"/>
  <c r="O135" i="17" a="1"/>
  <c r="O135" i="17" s="1"/>
  <c r="O155" i="17" a="1"/>
  <c r="O155" i="17" s="1"/>
  <c r="O7" i="17" a="1"/>
  <c r="O7" i="17" s="1"/>
  <c r="O8" i="17" a="1"/>
  <c r="O8" i="17" s="1"/>
  <c r="O9" i="17" a="1"/>
  <c r="O9" i="17" s="1"/>
  <c r="O25" i="17" a="1"/>
  <c r="O25" i="17" s="1"/>
  <c r="O26" i="17" a="1"/>
  <c r="O26" i="17" s="1"/>
  <c r="O27" i="17" a="1"/>
  <c r="O27" i="17" s="1"/>
  <c r="O28" i="17" a="1"/>
  <c r="O28" i="17" s="1"/>
  <c r="O29" i="17" a="1"/>
  <c r="O29" i="17" s="1"/>
  <c r="O44" i="17" a="1"/>
  <c r="O44" i="17" s="1"/>
  <c r="O45" i="17" a="1"/>
  <c r="O45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68" i="17" a="1"/>
  <c r="O68" i="17" s="1"/>
  <c r="O69" i="17" a="1"/>
  <c r="O69" i="17" s="1"/>
  <c r="O71" i="17" a="1"/>
  <c r="O71" i="17" s="1"/>
  <c r="O72" i="17" a="1"/>
  <c r="O72" i="17" s="1"/>
  <c r="O73" i="17" a="1"/>
  <c r="O73" i="17" s="1"/>
  <c r="O104" i="17" a="1"/>
  <c r="O104" i="17" s="1"/>
  <c r="O105" i="17" a="1"/>
  <c r="O105" i="17" s="1"/>
  <c r="O106" i="17" a="1"/>
  <c r="O106" i="17" s="1"/>
  <c r="O107" i="17" a="1"/>
  <c r="O107" i="17" s="1"/>
  <c r="O109" i="17" a="1"/>
  <c r="O109" i="17" s="1"/>
  <c r="O124" i="17" a="1"/>
  <c r="O124" i="17" s="1"/>
  <c r="O125" i="17" a="1"/>
  <c r="O125" i="17" s="1"/>
  <c r="O136" i="17" a="1"/>
  <c r="O136" i="17" s="1"/>
  <c r="O137" i="17" a="1"/>
  <c r="O137" i="17" s="1"/>
  <c r="O138" i="17" a="1"/>
  <c r="O138" i="17" s="1"/>
  <c r="O139" i="17" a="1"/>
  <c r="O139" i="17" s="1"/>
  <c r="O140" i="17" a="1"/>
  <c r="O140" i="17" s="1"/>
  <c r="O141" i="17" a="1"/>
  <c r="O141" i="17" s="1"/>
  <c r="O156" i="17" a="1"/>
  <c r="O156" i="17" s="1"/>
  <c r="O157" i="17" a="1"/>
  <c r="O157" i="17" s="1"/>
  <c r="O10" i="17" a="1"/>
  <c r="O10" i="17" s="1"/>
  <c r="O11" i="17" a="1"/>
  <c r="O11" i="17" s="1"/>
  <c r="O12" i="17" a="1"/>
  <c r="O12" i="17" s="1"/>
  <c r="O13" i="17" a="1"/>
  <c r="O13" i="17" s="1"/>
  <c r="O30" i="17" a="1"/>
  <c r="O30" i="17" s="1"/>
  <c r="O31" i="17" a="1"/>
  <c r="O31" i="17" s="1"/>
  <c r="O32" i="17" a="1"/>
  <c r="O32" i="17" s="1"/>
  <c r="O33" i="17" a="1"/>
  <c r="O33" i="17" s="1"/>
  <c r="O34" i="17" a="1"/>
  <c r="O34" i="17" s="1"/>
  <c r="O35" i="17" a="1"/>
  <c r="O35" i="17" s="1"/>
  <c r="O46" i="17" a="1"/>
  <c r="O46" i="17" s="1"/>
  <c r="O47" i="17" a="1"/>
  <c r="O47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126" i="17" a="1"/>
  <c r="O126" i="17" s="1"/>
  <c r="O127" i="17" a="1"/>
  <c r="O127" i="17" s="1"/>
  <c r="O142" i="17" a="1"/>
  <c r="O142" i="17" s="1"/>
  <c r="O143" i="17" a="1"/>
  <c r="O143" i="17" s="1"/>
  <c r="O144" i="17" a="1"/>
  <c r="O144" i="17" s="1"/>
  <c r="O145" i="17" a="1"/>
  <c r="O145" i="17" s="1"/>
  <c r="O146" i="17" a="1"/>
  <c r="O146" i="17" s="1"/>
  <c r="O147" i="17" a="1"/>
  <c r="O147" i="17" s="1"/>
  <c r="O158" i="17" a="1"/>
  <c r="O158" i="17" s="1"/>
  <c r="O159" i="17" a="1"/>
  <c r="O159" i="17" s="1"/>
  <c r="O14" i="17" a="1"/>
  <c r="O14" i="17" s="1"/>
  <c r="O15" i="17" a="1"/>
  <c r="O15" i="17" s="1"/>
  <c r="O16" i="17" a="1"/>
  <c r="O16" i="17" s="1"/>
  <c r="O17" i="17" a="1"/>
  <c r="O17" i="17" s="1"/>
  <c r="O36" i="17" a="1"/>
  <c r="O36" i="17" s="1"/>
  <c r="O37" i="17" a="1"/>
  <c r="O37" i="17" s="1"/>
  <c r="O38" i="17" a="1"/>
  <c r="O38" i="17" s="1"/>
  <c r="O39" i="17" a="1"/>
  <c r="O39" i="17" s="1"/>
  <c r="O40" i="17" a="1"/>
  <c r="O40" i="17" s="1"/>
  <c r="O41" i="17" a="1"/>
  <c r="O41" i="17" s="1"/>
  <c r="O48" i="17" a="1"/>
  <c r="O48" i="17" s="1"/>
  <c r="O49" i="17" a="1"/>
  <c r="O4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128" i="17" a="1"/>
  <c r="O128" i="17" s="1"/>
  <c r="O129" i="17" a="1"/>
  <c r="O129" i="17" s="1"/>
  <c r="O148" i="17" a="1"/>
  <c r="O148" i="17" s="1"/>
  <c r="O149" i="17" a="1"/>
  <c r="O149" i="17" s="1"/>
  <c r="O150" i="17" a="1"/>
  <c r="O150" i="17" s="1"/>
  <c r="O151" i="17" a="1"/>
  <c r="O151" i="17" s="1"/>
  <c r="O152" i="17" a="1"/>
  <c r="O152" i="17" s="1"/>
  <c r="O153" i="17" a="1"/>
  <c r="O153" i="17" s="1"/>
  <c r="O160" i="17" a="1"/>
  <c r="O160" i="17" s="1"/>
  <c r="O161" i="17" a="1"/>
  <c r="O161" i="17" s="1"/>
  <c r="P2" i="17" a="1"/>
  <c r="P2" i="17" s="1"/>
  <c r="P3" i="17" a="1"/>
  <c r="P3" i="17" s="1"/>
  <c r="P4" i="17" a="1"/>
  <c r="P4" i="17" s="1"/>
  <c r="P5" i="17" a="1"/>
  <c r="P5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42" i="17" a="1"/>
  <c r="P42" i="17" s="1"/>
  <c r="P43" i="17" a="1"/>
  <c r="P43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22" i="17" a="1"/>
  <c r="P122" i="17" s="1"/>
  <c r="P123" i="17" a="1"/>
  <c r="P123" i="17" s="1"/>
  <c r="P130" i="17" a="1"/>
  <c r="P130" i="17" s="1"/>
  <c r="P131" i="17" a="1"/>
  <c r="P131" i="17" s="1"/>
  <c r="P132" i="17" a="1"/>
  <c r="P132" i="17" s="1"/>
  <c r="P133" i="17" a="1"/>
  <c r="P133" i="17" s="1"/>
  <c r="P134" i="17" a="1"/>
  <c r="P134" i="17" s="1"/>
  <c r="P135" i="17" a="1"/>
  <c r="P135" i="17" s="1"/>
  <c r="P154" i="17" a="1"/>
  <c r="P154" i="17" s="1"/>
  <c r="P155" i="17" a="1"/>
  <c r="P155" i="17" s="1"/>
  <c r="P6" i="17" a="1"/>
  <c r="P6" i="17" s="1"/>
  <c r="P7" i="17" a="1"/>
  <c r="P7" i="17" s="1"/>
  <c r="P8" i="17" a="1"/>
  <c r="P8" i="17" s="1"/>
  <c r="P9" i="17" a="1"/>
  <c r="P9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44" i="17" a="1"/>
  <c r="P44" i="17" s="1"/>
  <c r="P45" i="17" a="1"/>
  <c r="P45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24" i="17" a="1"/>
  <c r="P124" i="17" s="1"/>
  <c r="P125" i="17" a="1"/>
  <c r="P125" i="17" s="1"/>
  <c r="P136" i="17" a="1"/>
  <c r="P136" i="17" s="1"/>
  <c r="P137" i="17" a="1"/>
  <c r="P137" i="17" s="1"/>
  <c r="P138" i="17" a="1"/>
  <c r="P138" i="17" s="1"/>
  <c r="P139" i="17" a="1"/>
  <c r="P139" i="17" s="1"/>
  <c r="P140" i="17" a="1"/>
  <c r="P140" i="17" s="1"/>
  <c r="P141" i="17" a="1"/>
  <c r="P141" i="17" s="1"/>
  <c r="P156" i="17" a="1"/>
  <c r="P156" i="17" s="1"/>
  <c r="P157" i="17" a="1"/>
  <c r="P157" i="17" s="1"/>
  <c r="P10" i="17" a="1"/>
  <c r="P10" i="17" s="1"/>
  <c r="P11" i="17" a="1"/>
  <c r="P11" i="17" s="1"/>
  <c r="P12" i="17" a="1"/>
  <c r="P12" i="17" s="1"/>
  <c r="P13" i="17" a="1"/>
  <c r="P13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46" i="17" a="1"/>
  <c r="P46" i="17" s="1"/>
  <c r="P47" i="17" a="1"/>
  <c r="P47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126" i="17" a="1"/>
  <c r="P126" i="17" s="1"/>
  <c r="P127" i="17" a="1"/>
  <c r="P127" i="17" s="1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 s="1"/>
  <c r="P158" i="17" a="1"/>
  <c r="P158" i="17" s="1"/>
  <c r="P159" i="17" a="1"/>
  <c r="P159" i="17" s="1"/>
  <c r="P14" i="17" a="1"/>
  <c r="P14" i="17" s="1"/>
  <c r="P15" i="17" a="1"/>
  <c r="P15" i="17" s="1"/>
  <c r="P16" i="17" a="1"/>
  <c r="P16" i="17" s="1"/>
  <c r="P17" i="17" a="1"/>
  <c r="P17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48" i="17" a="1"/>
  <c r="P48" i="17" s="1"/>
  <c r="P49" i="17" a="1"/>
  <c r="P4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128" i="17" a="1"/>
  <c r="P128" i="17" s="1"/>
  <c r="P129" i="17" a="1"/>
  <c r="P129" i="17" s="1"/>
  <c r="P148" i="17" a="1"/>
  <c r="P148" i="17" s="1"/>
  <c r="P149" i="17" a="1"/>
  <c r="P149" i="17" s="1"/>
  <c r="P150" i="17" a="1"/>
  <c r="P150" i="17" s="1"/>
  <c r="P151" i="17" a="1"/>
  <c r="P151" i="17"/>
  <c r="P152" i="17" a="1"/>
  <c r="P152" i="17" s="1"/>
  <c r="P153" i="17" a="1"/>
  <c r="P153" i="17" s="1"/>
  <c r="P160" i="17" a="1"/>
  <c r="P160" i="17" s="1"/>
  <c r="P161" i="17" a="1"/>
  <c r="P161" i="17" s="1"/>
  <c r="R2" i="17" a="1"/>
  <c r="R2" i="17" s="1"/>
  <c r="R3" i="17" a="1"/>
  <c r="R3" i="17" s="1"/>
  <c r="R4" i="17" a="1"/>
  <c r="R4" i="17" s="1"/>
  <c r="R5" i="17" a="1"/>
  <c r="R5" i="17" s="1"/>
  <c r="R18" i="17" a="1"/>
  <c r="R18" i="17" s="1"/>
  <c r="R19" i="17" a="1"/>
  <c r="R19" i="17" s="1"/>
  <c r="R20" i="17" a="1"/>
  <c r="R20" i="17" s="1"/>
  <c r="R21" i="17" a="1"/>
  <c r="R21" i="17" s="1"/>
  <c r="R22" i="17" a="1"/>
  <c r="R22" i="17" s="1"/>
  <c r="R23" i="17" a="1"/>
  <c r="R23" i="17" s="1"/>
  <c r="R42" i="17" a="1"/>
  <c r="R42" i="17" s="1"/>
  <c r="R43" i="17" a="1"/>
  <c r="R43" i="17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22" i="17" a="1"/>
  <c r="R122" i="17" s="1"/>
  <c r="R123" i="17" a="1"/>
  <c r="R123" i="17" s="1"/>
  <c r="R130" i="17" a="1"/>
  <c r="R130" i="17" s="1"/>
  <c r="R131" i="17" a="1"/>
  <c r="R131" i="17" s="1"/>
  <c r="R132" i="17" a="1"/>
  <c r="R132" i="17" s="1"/>
  <c r="R133" i="17" a="1"/>
  <c r="R133" i="17" s="1"/>
  <c r="R134" i="17" a="1"/>
  <c r="R134" i="17" s="1"/>
  <c r="R135" i="17" a="1"/>
  <c r="R135" i="17" s="1"/>
  <c r="R154" i="17" a="1"/>
  <c r="R154" i="17" s="1"/>
  <c r="R155" i="17" a="1"/>
  <c r="R155" i="17" s="1"/>
  <c r="R6" i="17" a="1"/>
  <c r="R6" i="17" s="1"/>
  <c r="R7" i="17" a="1"/>
  <c r="R7" i="17" s="1"/>
  <c r="R8" i="17" a="1"/>
  <c r="R8" i="17"/>
  <c r="R9" i="17" a="1"/>
  <c r="R9" i="17" s="1"/>
  <c r="R24" i="17" a="1"/>
  <c r="R24" i="17" s="1"/>
  <c r="R25" i="17" a="1"/>
  <c r="R25" i="17" s="1"/>
  <c r="R26" i="17" a="1"/>
  <c r="R26" i="17" s="1"/>
  <c r="R27" i="17" a="1"/>
  <c r="R27" i="17" s="1"/>
  <c r="R28" i="17" a="1"/>
  <c r="R28" i="17" s="1"/>
  <c r="R29" i="17" a="1"/>
  <c r="R29" i="17" s="1"/>
  <c r="R44" i="17" a="1"/>
  <c r="R44" i="17" s="1"/>
  <c r="R45" i="17" a="1"/>
  <c r="R45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24" i="17" a="1"/>
  <c r="R124" i="17" s="1"/>
  <c r="R125" i="17" a="1"/>
  <c r="R125" i="17" s="1"/>
  <c r="R136" i="17" a="1"/>
  <c r="R136" i="17" s="1"/>
  <c r="R137" i="17" a="1"/>
  <c r="R137" i="17"/>
  <c r="R138" i="17" a="1"/>
  <c r="R138" i="17" s="1"/>
  <c r="R139" i="17" a="1"/>
  <c r="R139" i="17" s="1"/>
  <c r="R140" i="17" a="1"/>
  <c r="R140" i="17" s="1"/>
  <c r="R141" i="17" a="1"/>
  <c r="R141" i="17" s="1"/>
  <c r="R156" i="17" a="1"/>
  <c r="R156" i="17" s="1"/>
  <c r="R157" i="17" a="1"/>
  <c r="R157" i="17" s="1"/>
  <c r="R10" i="17" a="1"/>
  <c r="R10" i="17" s="1"/>
  <c r="R11" i="17" a="1"/>
  <c r="R11" i="17" s="1"/>
  <c r="R12" i="17" a="1"/>
  <c r="R12" i="17" s="1"/>
  <c r="R13" i="17" a="1"/>
  <c r="R13" i="17" s="1"/>
  <c r="R30" i="17" a="1"/>
  <c r="R30" i="17" s="1"/>
  <c r="R31" i="17" a="1"/>
  <c r="R31" i="17" s="1"/>
  <c r="R32" i="17" a="1"/>
  <c r="R32" i="17" s="1"/>
  <c r="R33" i="17" a="1"/>
  <c r="R33" i="17" s="1"/>
  <c r="R34" i="17" a="1"/>
  <c r="R34" i="17" s="1"/>
  <c r="R35" i="17" a="1"/>
  <c r="R35" i="17"/>
  <c r="R46" i="17" a="1"/>
  <c r="R46" i="17"/>
  <c r="R47" i="17" a="1"/>
  <c r="R47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10" i="17" a="1"/>
  <c r="R110" i="17" s="1"/>
  <c r="R111" i="17" a="1"/>
  <c r="R111" i="17"/>
  <c r="R112" i="17" a="1"/>
  <c r="R112" i="17" s="1"/>
  <c r="R113" i="17" a="1"/>
  <c r="R113" i="17"/>
  <c r="R114" i="17" a="1"/>
  <c r="R114" i="17" s="1"/>
  <c r="R115" i="17" a="1"/>
  <c r="R115" i="17" s="1"/>
  <c r="R126" i="17" a="1"/>
  <c r="R126" i="17" s="1"/>
  <c r="R127" i="17" a="1"/>
  <c r="R127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158" i="17" a="1"/>
  <c r="R158" i="17" s="1"/>
  <c r="R159" i="17" a="1"/>
  <c r="R159" i="17" s="1"/>
  <c r="R14" i="17" a="1"/>
  <c r="R14" i="17" s="1"/>
  <c r="R15" i="17" a="1"/>
  <c r="R15" i="17" s="1"/>
  <c r="R16" i="17" a="1"/>
  <c r="R16" i="17"/>
  <c r="R17" i="17" a="1"/>
  <c r="R17" i="17"/>
  <c r="R36" i="17" a="1"/>
  <c r="R36" i="17" s="1"/>
  <c r="R37" i="17" a="1"/>
  <c r="R37" i="17" s="1"/>
  <c r="R38" i="17" a="1"/>
  <c r="R38" i="17" s="1"/>
  <c r="R39" i="17" a="1"/>
  <c r="R39" i="17" s="1"/>
  <c r="R40" i="17" a="1"/>
  <c r="R40" i="17" s="1"/>
  <c r="R41" i="17" a="1"/>
  <c r="R41" i="17" s="1"/>
  <c r="R48" i="17" a="1"/>
  <c r="R48" i="17" s="1"/>
  <c r="R49" i="17" a="1"/>
  <c r="R4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/>
  <c r="R94" i="17" a="1"/>
  <c r="R94" i="17" s="1"/>
  <c r="R95" i="17" a="1"/>
  <c r="R95" i="17" s="1"/>
  <c r="R96" i="17" a="1"/>
  <c r="R96" i="17" s="1"/>
  <c r="R97" i="17" a="1"/>
  <c r="R97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128" i="17" a="1"/>
  <c r="R128" i="17" s="1"/>
  <c r="R129" i="17" a="1"/>
  <c r="R129" i="17" s="1"/>
  <c r="R148" i="17" a="1"/>
  <c r="R148" i="17" s="1"/>
  <c r="R149" i="17" a="1"/>
  <c r="R149" i="17" s="1"/>
  <c r="R150" i="17" a="1"/>
  <c r="R150" i="17"/>
  <c r="R151" i="17" a="1"/>
  <c r="R151" i="17" s="1"/>
  <c r="R152" i="17" a="1"/>
  <c r="R152" i="17" s="1"/>
  <c r="R153" i="17" a="1"/>
  <c r="R153" i="17" s="1"/>
  <c r="R160" i="17" a="1"/>
  <c r="R160" i="17" s="1"/>
  <c r="R161" i="17" a="1"/>
  <c r="R161" i="17" s="1"/>
  <c r="S2" i="17" a="1"/>
  <c r="S2" i="17" s="1"/>
  <c r="S3" i="17" a="1"/>
  <c r="S3" i="17" s="1"/>
  <c r="S4" i="17" a="1"/>
  <c r="S4" i="17" s="1"/>
  <c r="S5" i="17" a="1"/>
  <c r="S5" i="17" s="1"/>
  <c r="S18" i="17" a="1"/>
  <c r="S18" i="17" s="1"/>
  <c r="S19" i="17" a="1"/>
  <c r="S19" i="17" s="1"/>
  <c r="S20" i="17" a="1"/>
  <c r="S20" i="17" s="1"/>
  <c r="S21" i="17" a="1"/>
  <c r="S21" i="17" s="1"/>
  <c r="S22" i="17" a="1"/>
  <c r="S22" i="17" s="1"/>
  <c r="S23" i="17" a="1"/>
  <c r="S23" i="17"/>
  <c r="S42" i="17" a="1"/>
  <c r="S42" i="17" s="1"/>
  <c r="S43" i="17" a="1"/>
  <c r="S43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22" i="17" a="1"/>
  <c r="S122" i="17" s="1"/>
  <c r="S123" i="17" a="1"/>
  <c r="S123" i="17" s="1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154" i="17" a="1"/>
  <c r="S154" i="17" s="1"/>
  <c r="S155" i="17" a="1"/>
  <c r="S155" i="17" s="1"/>
  <c r="S6" i="17" a="1"/>
  <c r="S6" i="17" s="1"/>
  <c r="S7" i="17" a="1"/>
  <c r="S7" i="17" s="1"/>
  <c r="S8" i="17" a="1"/>
  <c r="S8" i="17" s="1"/>
  <c r="S9" i="17" a="1"/>
  <c r="S9" i="17"/>
  <c r="S24" i="17" a="1"/>
  <c r="S24" i="17" s="1"/>
  <c r="S25" i="17" a="1"/>
  <c r="S25" i="17" s="1"/>
  <c r="S26" i="17" a="1"/>
  <c r="S26" i="17" s="1"/>
  <c r="S27" i="17" a="1"/>
  <c r="S27" i="17" s="1"/>
  <c r="S28" i="17" a="1"/>
  <c r="S28" i="17" s="1"/>
  <c r="S29" i="17" a="1"/>
  <c r="S29" i="17"/>
  <c r="S44" i="17" a="1"/>
  <c r="S44" i="17" s="1"/>
  <c r="S45" i="17" a="1"/>
  <c r="S45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68" i="17" a="1"/>
  <c r="S68" i="17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04" i="17" a="1"/>
  <c r="S104" i="17" s="1"/>
  <c r="S105" i="17" a="1"/>
  <c r="S105" i="17"/>
  <c r="S106" i="17" a="1"/>
  <c r="S106" i="17" s="1"/>
  <c r="S107" i="17" a="1"/>
  <c r="S107" i="17" s="1"/>
  <c r="S108" i="17" a="1"/>
  <c r="S108" i="17" s="1"/>
  <c r="S109" i="17" a="1"/>
  <c r="S109" i="17" s="1"/>
  <c r="S124" i="17" a="1"/>
  <c r="S124" i="17" s="1"/>
  <c r="S125" i="17" a="1"/>
  <c r="S125" i="17" s="1"/>
  <c r="S136" i="17" a="1"/>
  <c r="S136" i="17"/>
  <c r="S137" i="17" a="1"/>
  <c r="S137" i="17" s="1"/>
  <c r="S138" i="17" a="1"/>
  <c r="S138" i="17" s="1"/>
  <c r="S139" i="17" a="1"/>
  <c r="S139" i="17" s="1"/>
  <c r="S140" i="17" a="1"/>
  <c r="S140" i="17" s="1"/>
  <c r="S141" i="17" a="1"/>
  <c r="S141" i="17" s="1"/>
  <c r="S156" i="17" a="1"/>
  <c r="S156" i="17" s="1"/>
  <c r="S157" i="17" a="1"/>
  <c r="S157" i="17" s="1"/>
  <c r="S10" i="17" a="1"/>
  <c r="S10" i="17" s="1"/>
  <c r="S11" i="17" a="1"/>
  <c r="S11" i="17"/>
  <c r="S12" i="17" a="1"/>
  <c r="S12" i="17" s="1"/>
  <c r="S13" i="17" a="1"/>
  <c r="S13" i="17" s="1"/>
  <c r="S30" i="17" a="1"/>
  <c r="S30" i="17" s="1"/>
  <c r="S31" i="17" a="1"/>
  <c r="S31" i="17" s="1"/>
  <c r="S32" i="17" a="1"/>
  <c r="S32" i="17" s="1"/>
  <c r="S33" i="17" a="1"/>
  <c r="S33" i="17" s="1"/>
  <c r="S34" i="17" a="1"/>
  <c r="S34" i="17"/>
  <c r="S35" i="17" a="1"/>
  <c r="S35" i="17" s="1"/>
  <c r="S46" i="17" a="1"/>
  <c r="S46" i="17" s="1"/>
  <c r="S47" i="17" a="1"/>
  <c r="S47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126" i="17" a="1"/>
  <c r="S126" i="17" s="1"/>
  <c r="S127" i="17" a="1"/>
  <c r="S127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158" i="17" a="1"/>
  <c r="S158" i="17" s="1"/>
  <c r="S159" i="17" a="1"/>
  <c r="S159" i="17" s="1"/>
  <c r="S14" i="17" a="1"/>
  <c r="S14" i="17" s="1"/>
  <c r="S15" i="17" a="1"/>
  <c r="S15" i="17" s="1"/>
  <c r="S16" i="17" a="1"/>
  <c r="S16" i="17" s="1"/>
  <c r="S17" i="17" a="1"/>
  <c r="S17" i="17" s="1"/>
  <c r="S36" i="17" a="1"/>
  <c r="S36" i="17" s="1"/>
  <c r="S37" i="17" a="1"/>
  <c r="S37" i="17" s="1"/>
  <c r="S38" i="17" a="1"/>
  <c r="S38" i="17" s="1"/>
  <c r="S39" i="17" a="1"/>
  <c r="S39" i="17" s="1"/>
  <c r="S40" i="17" a="1"/>
  <c r="S40" i="17" s="1"/>
  <c r="S41" i="17" a="1"/>
  <c r="S41" i="17" s="1"/>
  <c r="S48" i="17" a="1"/>
  <c r="S48" i="17" s="1"/>
  <c r="S49" i="17" a="1"/>
  <c r="S4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128" i="17" a="1"/>
  <c r="S128" i="17" s="1"/>
  <c r="S129" i="17" a="1"/>
  <c r="S129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160" i="17" a="1"/>
  <c r="S160" i="17" s="1"/>
  <c r="S161" i="17" a="1"/>
  <c r="S161" i="17" s="1"/>
  <c r="T2" i="17" a="1"/>
  <c r="T2" i="17" s="1"/>
  <c r="T3" i="17" a="1"/>
  <c r="T3" i="17" s="1"/>
  <c r="T4" i="17" a="1"/>
  <c r="T4" i="17" s="1"/>
  <c r="T5" i="17" a="1"/>
  <c r="T5" i="17" s="1"/>
  <c r="T18" i="17" a="1"/>
  <c r="T18" i="17" s="1"/>
  <c r="T19" i="17" a="1"/>
  <c r="T19" i="17" s="1"/>
  <c r="T20" i="17" a="1"/>
  <c r="T20" i="17" s="1"/>
  <c r="T21" i="17" a="1"/>
  <c r="T21" i="17" s="1"/>
  <c r="T22" i="17" a="1"/>
  <c r="T22" i="17" s="1"/>
  <c r="T23" i="17" a="1"/>
  <c r="T23" i="17" s="1"/>
  <c r="T42" i="17" a="1"/>
  <c r="T42" i="17" s="1"/>
  <c r="T43" i="17" a="1"/>
  <c r="T43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98" i="17" a="1"/>
  <c r="T98" i="17" s="1"/>
  <c r="T99" i="17" a="1"/>
  <c r="T99" i="17" s="1"/>
  <c r="T100" i="17" a="1"/>
  <c r="T100" i="17"/>
  <c r="T101" i="17" a="1"/>
  <c r="T101" i="17" s="1"/>
  <c r="T102" i="17" a="1"/>
  <c r="T102" i="17" s="1"/>
  <c r="T103" i="17" a="1"/>
  <c r="T103" i="17" s="1"/>
  <c r="T122" i="17" a="1"/>
  <c r="T122" i="17" s="1"/>
  <c r="T123" i="17" a="1"/>
  <c r="T123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 s="1"/>
  <c r="T154" i="17" a="1"/>
  <c r="T154" i="17" s="1"/>
  <c r="T155" i="17" a="1"/>
  <c r="T155" i="17" s="1"/>
  <c r="T6" i="17" a="1"/>
  <c r="T6" i="17" s="1"/>
  <c r="T7" i="17" a="1"/>
  <c r="T7" i="17" s="1"/>
  <c r="T8" i="17" a="1"/>
  <c r="T8" i="17"/>
  <c r="T9" i="17" a="1"/>
  <c r="T9" i="17" s="1"/>
  <c r="T24" i="17" a="1"/>
  <c r="T24" i="17" s="1"/>
  <c r="T25" i="17" a="1"/>
  <c r="T25" i="17" s="1"/>
  <c r="T26" i="17" a="1"/>
  <c r="T26" i="17" s="1"/>
  <c r="T27" i="17" a="1"/>
  <c r="T27" i="17" s="1"/>
  <c r="T28" i="17" a="1"/>
  <c r="T28" i="17" s="1"/>
  <c r="T29" i="17" a="1"/>
  <c r="T29" i="17" s="1"/>
  <c r="T44" i="17" a="1"/>
  <c r="T44" i="17" s="1"/>
  <c r="T45" i="17" a="1"/>
  <c r="T45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24" i="17" a="1"/>
  <c r="T124" i="17" s="1"/>
  <c r="T125" i="17" a="1"/>
  <c r="T125" i="17" s="1"/>
  <c r="T136" i="17" a="1"/>
  <c r="T136" i="17" s="1"/>
  <c r="T137" i="17" a="1"/>
  <c r="T137" i="17" s="1"/>
  <c r="T138" i="17" a="1"/>
  <c r="T138" i="17"/>
  <c r="T139" i="17" a="1"/>
  <c r="T139" i="17" s="1"/>
  <c r="T140" i="17" a="1"/>
  <c r="T140" i="17" s="1"/>
  <c r="T141" i="17" a="1"/>
  <c r="T141" i="17" s="1"/>
  <c r="T156" i="17" a="1"/>
  <c r="T156" i="17" s="1"/>
  <c r="T157" i="17" a="1"/>
  <c r="T157" i="17" s="1"/>
  <c r="T10" i="17" a="1"/>
  <c r="T10" i="17" s="1"/>
  <c r="T11" i="17" a="1"/>
  <c r="T11" i="17" s="1"/>
  <c r="T12" i="17" a="1"/>
  <c r="T12" i="17" s="1"/>
  <c r="T13" i="17" a="1"/>
  <c r="T13" i="17" s="1"/>
  <c r="T30" i="17" a="1"/>
  <c r="T30" i="17" s="1"/>
  <c r="T31" i="17" a="1"/>
  <c r="T31" i="17" s="1"/>
  <c r="T32" i="17" a="1"/>
  <c r="T32" i="17" s="1"/>
  <c r="T33" i="17" a="1"/>
  <c r="T33" i="17" s="1"/>
  <c r="T34" i="17" a="1"/>
  <c r="T34" i="17" s="1"/>
  <c r="T35" i="17" a="1"/>
  <c r="T35" i="17" s="1"/>
  <c r="T46" i="17" a="1"/>
  <c r="T46" i="17" s="1"/>
  <c r="T47" i="17" a="1"/>
  <c r="T47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/>
  <c r="T79" i="17" a="1"/>
  <c r="T79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126" i="17" a="1"/>
  <c r="T126" i="17" s="1"/>
  <c r="T127" i="17" a="1"/>
  <c r="T127" i="17" s="1"/>
  <c r="T142" i="17" a="1"/>
  <c r="T142" i="17" s="1"/>
  <c r="T143" i="17" a="1"/>
  <c r="T143" i="17" s="1"/>
  <c r="T144" i="17" a="1"/>
  <c r="T144" i="17"/>
  <c r="T145" i="17" a="1"/>
  <c r="T145" i="17" s="1"/>
  <c r="T146" i="17" a="1"/>
  <c r="T146" i="17" s="1"/>
  <c r="T147" i="17" a="1"/>
  <c r="T147" i="17" s="1"/>
  <c r="T158" i="17" a="1"/>
  <c r="T158" i="17" s="1"/>
  <c r="T159" i="17" a="1"/>
  <c r="T159" i="17" s="1"/>
  <c r="T14" i="17" a="1"/>
  <c r="T14" i="17" s="1"/>
  <c r="T15" i="17" a="1"/>
  <c r="T15" i="17" s="1"/>
  <c r="T16" i="17" a="1"/>
  <c r="T16" i="17" s="1"/>
  <c r="T17" i="17" a="1"/>
  <c r="T17" i="17" s="1"/>
  <c r="T36" i="17" a="1"/>
  <c r="T36" i="17" s="1"/>
  <c r="T37" i="17" a="1"/>
  <c r="T37" i="17" s="1"/>
  <c r="T38" i="17" a="1"/>
  <c r="T38" i="17" s="1"/>
  <c r="T39" i="17" a="1"/>
  <c r="T39" i="17" s="1"/>
  <c r="T40" i="17" a="1"/>
  <c r="T40" i="17" s="1"/>
  <c r="T41" i="17" a="1"/>
  <c r="T41" i="17" s="1"/>
  <c r="T48" i="17" a="1"/>
  <c r="T48" i="17" s="1"/>
  <c r="T49" i="17" a="1"/>
  <c r="T49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128" i="17" a="1"/>
  <c r="T128" i="17" s="1"/>
  <c r="T129" i="17" a="1"/>
  <c r="T129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160" i="17" a="1"/>
  <c r="T160" i="17"/>
  <c r="T161" i="17" a="1"/>
  <c r="T161" i="17" s="1"/>
  <c r="U2" i="17" a="1"/>
  <c r="U2" i="17" s="1"/>
  <c r="U3" i="17" a="1"/>
  <c r="U3" i="17" s="1"/>
  <c r="U4" i="17" a="1"/>
  <c r="U4" i="17" s="1"/>
  <c r="U5" i="17" a="1"/>
  <c r="U5" i="17" s="1"/>
  <c r="U18" i="17" a="1"/>
  <c r="U18" i="17" s="1"/>
  <c r="U19" i="17" a="1"/>
  <c r="U19" i="17" s="1"/>
  <c r="U20" i="17" a="1"/>
  <c r="U20" i="17" s="1"/>
  <c r="U21" i="17" a="1"/>
  <c r="U21" i="17" s="1"/>
  <c r="U22" i="17" a="1"/>
  <c r="U22" i="17" s="1"/>
  <c r="U23" i="17" a="1"/>
  <c r="U23" i="17" s="1"/>
  <c r="U42" i="17" a="1"/>
  <c r="U42" i="17" s="1"/>
  <c r="U43" i="17" a="1"/>
  <c r="U43" i="17" s="1"/>
  <c r="U50" i="17" a="1"/>
  <c r="U50" i="17" s="1"/>
  <c r="U51" i="17" a="1"/>
  <c r="U51" i="17" s="1"/>
  <c r="U52" i="17" a="1"/>
  <c r="U52" i="17"/>
  <c r="U53" i="17" a="1"/>
  <c r="U53" i="17" s="1"/>
  <c r="U54" i="17" a="1"/>
  <c r="U54" i="17" s="1"/>
  <c r="U55" i="17" a="1"/>
  <c r="U55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22" i="17" a="1"/>
  <c r="U122" i="17" s="1"/>
  <c r="U123" i="17" a="1"/>
  <c r="U123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154" i="17" a="1"/>
  <c r="U154" i="17" s="1"/>
  <c r="U155" i="17" a="1"/>
  <c r="U155" i="17" s="1"/>
  <c r="U6" i="17" a="1"/>
  <c r="U6" i="17" s="1"/>
  <c r="U7" i="17" a="1"/>
  <c r="U7" i="17" s="1"/>
  <c r="U8" i="17" a="1"/>
  <c r="U8" i="17" s="1"/>
  <c r="U9" i="17" a="1"/>
  <c r="U9" i="17" s="1"/>
  <c r="U24" i="17" a="1"/>
  <c r="U24" i="17" s="1"/>
  <c r="U25" i="17" a="1"/>
  <c r="U25" i="17" s="1"/>
  <c r="U26" i="17" a="1"/>
  <c r="U26" i="17"/>
  <c r="U27" i="17" a="1"/>
  <c r="U27" i="17" s="1"/>
  <c r="U28" i="17" a="1"/>
  <c r="U28" i="17" s="1"/>
  <c r="U29" i="17" a="1"/>
  <c r="U29" i="17" s="1"/>
  <c r="U44" i="17" a="1"/>
  <c r="U44" i="17" s="1"/>
  <c r="U45" i="17" a="1"/>
  <c r="U45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24" i="17" a="1"/>
  <c r="U124" i="17" s="1"/>
  <c r="U125" i="17" a="1"/>
  <c r="U125" i="17" s="1"/>
  <c r="U136" i="17" a="1"/>
  <c r="U136" i="17" s="1"/>
  <c r="U137" i="17" a="1"/>
  <c r="U137" i="17" s="1"/>
  <c r="U138" i="17" a="1"/>
  <c r="U138" i="17"/>
  <c r="U139" i="17" a="1"/>
  <c r="U139" i="17" s="1"/>
  <c r="U140" i="17" a="1"/>
  <c r="U140" i="17" s="1"/>
  <c r="U141" i="17" a="1"/>
  <c r="U141" i="17" s="1"/>
  <c r="U156" i="17" a="1"/>
  <c r="U156" i="17" s="1"/>
  <c r="U157" i="17" a="1"/>
  <c r="U157" i="17" s="1"/>
  <c r="U10" i="17" a="1"/>
  <c r="U10" i="17" s="1"/>
  <c r="U11" i="17" a="1"/>
  <c r="U11" i="17" s="1"/>
  <c r="U12" i="17" a="1"/>
  <c r="U12" i="17" s="1"/>
  <c r="U13" i="17" a="1"/>
  <c r="U13" i="17" s="1"/>
  <c r="U30" i="17" a="1"/>
  <c r="U30" i="17" s="1"/>
  <c r="U31" i="17" a="1"/>
  <c r="U31" i="17" s="1"/>
  <c r="U32" i="17" a="1"/>
  <c r="U32" i="17" s="1"/>
  <c r="U33" i="17" a="1"/>
  <c r="U33" i="17" s="1"/>
  <c r="U34" i="17" a="1"/>
  <c r="U34" i="17" s="1"/>
  <c r="U35" i="17" a="1"/>
  <c r="U35" i="17" s="1"/>
  <c r="U46" i="17" a="1"/>
  <c r="U46" i="17" s="1"/>
  <c r="U47" i="17" a="1"/>
  <c r="U47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10" i="17" a="1"/>
  <c r="U110" i="17" s="1"/>
  <c r="U111" i="17" a="1"/>
  <c r="U111" i="17"/>
  <c r="U112" i="17" a="1"/>
  <c r="U112" i="17" s="1"/>
  <c r="U113" i="17" a="1"/>
  <c r="U113" i="17" s="1"/>
  <c r="U114" i="17" a="1"/>
  <c r="U114" i="17" s="1"/>
  <c r="U115" i="17" a="1"/>
  <c r="U115" i="17"/>
  <c r="U126" i="17" a="1"/>
  <c r="U126" i="17" s="1"/>
  <c r="U127" i="17" a="1"/>
  <c r="U127" i="17" s="1"/>
  <c r="U142" i="17" a="1"/>
  <c r="U142" i="17" s="1"/>
  <c r="U143" i="17" a="1"/>
  <c r="U143" i="17" s="1"/>
  <c r="U144" i="17" a="1"/>
  <c r="U144" i="17" s="1"/>
  <c r="U145" i="17" a="1"/>
  <c r="U145" i="17" s="1"/>
  <c r="U146" i="17" a="1"/>
  <c r="U146" i="17" s="1"/>
  <c r="U147" i="17" a="1"/>
  <c r="U147" i="17"/>
  <c r="U158" i="17" a="1"/>
  <c r="U158" i="17" s="1"/>
  <c r="U159" i="17" a="1"/>
  <c r="U159" i="17" s="1"/>
  <c r="U14" i="17" a="1"/>
  <c r="U14" i="17" s="1"/>
  <c r="U15" i="17" a="1"/>
  <c r="U15" i="17" s="1"/>
  <c r="U16" i="17" a="1"/>
  <c r="U16" i="17" s="1"/>
  <c r="U17" i="17" a="1"/>
  <c r="U17" i="17" s="1"/>
  <c r="U36" i="17" a="1"/>
  <c r="U36" i="17" s="1"/>
  <c r="U37" i="17" a="1"/>
  <c r="U37" i="17" s="1"/>
  <c r="U38" i="17" a="1"/>
  <c r="U38" i="17" s="1"/>
  <c r="U39" i="17" a="1"/>
  <c r="U39" i="17" s="1"/>
  <c r="U40" i="17" a="1"/>
  <c r="U40" i="17" s="1"/>
  <c r="U41" i="17" a="1"/>
  <c r="U41" i="17"/>
  <c r="U48" i="17" a="1"/>
  <c r="U48" i="17" s="1"/>
  <c r="U49" i="17" a="1"/>
  <c r="U4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/>
  <c r="U92" i="17" a="1"/>
  <c r="U92" i="17" s="1"/>
  <c r="U93" i="17" a="1"/>
  <c r="U93" i="17" s="1"/>
  <c r="U94" i="17" a="1"/>
  <c r="U94" i="17"/>
  <c r="U95" i="17" a="1"/>
  <c r="U95" i="17" s="1"/>
  <c r="U96" i="17" a="1"/>
  <c r="U96" i="17" s="1"/>
  <c r="U97" i="17" a="1"/>
  <c r="U97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128" i="17" a="1"/>
  <c r="U128" i="17" s="1"/>
  <c r="U129" i="17" a="1"/>
  <c r="U129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160" i="17" a="1"/>
  <c r="U160" i="17" s="1"/>
  <c r="U161" i="17" a="1"/>
  <c r="U161" i="17" s="1"/>
  <c r="V2" i="17" a="1"/>
  <c r="V2" i="17" s="1"/>
  <c r="V3" i="17" a="1"/>
  <c r="V3" i="17" s="1"/>
  <c r="V4" i="17" a="1"/>
  <c r="V4" i="17" s="1"/>
  <c r="V5" i="17" a="1"/>
  <c r="V5" i="17" s="1"/>
  <c r="V18" i="17" a="1"/>
  <c r="V18" i="17" s="1"/>
  <c r="V19" i="17" a="1"/>
  <c r="V19" i="17" s="1"/>
  <c r="V20" i="17" a="1"/>
  <c r="V20" i="17" s="1"/>
  <c r="V21" i="17" a="1"/>
  <c r="V21" i="17" s="1"/>
  <c r="V22" i="17" a="1"/>
  <c r="V22" i="17" s="1"/>
  <c r="V23" i="17" a="1"/>
  <c r="V23" i="17" s="1"/>
  <c r="V42" i="17" a="1"/>
  <c r="V42" i="17" s="1"/>
  <c r="V43" i="17" a="1"/>
  <c r="V43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22" i="17" a="1"/>
  <c r="V122" i="17" s="1"/>
  <c r="V123" i="17" a="1"/>
  <c r="V123" i="17" s="1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 s="1"/>
  <c r="V154" i="17" a="1"/>
  <c r="V154" i="17" s="1"/>
  <c r="V155" i="17" a="1"/>
  <c r="V155" i="17" s="1"/>
  <c r="V6" i="17" a="1"/>
  <c r="V6" i="17" s="1"/>
  <c r="V7" i="17" a="1"/>
  <c r="V7" i="17" s="1"/>
  <c r="V8" i="17" a="1"/>
  <c r="V8" i="17" s="1"/>
  <c r="V9" i="17" a="1"/>
  <c r="V9" i="17" s="1"/>
  <c r="V24" i="17" a="1"/>
  <c r="V24" i="17" s="1"/>
  <c r="V25" i="17" a="1"/>
  <c r="V25" i="17" s="1"/>
  <c r="V26" i="17" a="1"/>
  <c r="V26" i="17" s="1"/>
  <c r="V27" i="17" a="1"/>
  <c r="V27" i="17" s="1"/>
  <c r="V28" i="17" a="1"/>
  <c r="V28" i="17" s="1"/>
  <c r="V29" i="17" a="1"/>
  <c r="V29" i="17" s="1"/>
  <c r="V44" i="17" a="1"/>
  <c r="V44" i="17" s="1"/>
  <c r="V45" i="17" a="1"/>
  <c r="V45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24" i="17" a="1"/>
  <c r="V124" i="17" s="1"/>
  <c r="V125" i="17" a="1"/>
  <c r="V125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156" i="17" a="1"/>
  <c r="V156" i="17" s="1"/>
  <c r="V157" i="17" a="1"/>
  <c r="V157" i="17" s="1"/>
  <c r="V10" i="17" a="1"/>
  <c r="V10" i="17" s="1"/>
  <c r="V11" i="17" a="1"/>
  <c r="V11" i="17" s="1"/>
  <c r="V12" i="17" a="1"/>
  <c r="V12" i="17" s="1"/>
  <c r="V13" i="17" a="1"/>
  <c r="V13" i="17" s="1"/>
  <c r="V30" i="17" a="1"/>
  <c r="V30" i="17" s="1"/>
  <c r="V31" i="17" a="1"/>
  <c r="V31" i="17" s="1"/>
  <c r="V32" i="17" a="1"/>
  <c r="V32" i="17" s="1"/>
  <c r="V33" i="17" a="1"/>
  <c r="V33" i="17" s="1"/>
  <c r="V34" i="17" a="1"/>
  <c r="V34" i="17" s="1"/>
  <c r="V35" i="17" a="1"/>
  <c r="V35" i="17" s="1"/>
  <c r="V46" i="17" a="1"/>
  <c r="V46" i="17" s="1"/>
  <c r="V47" i="17" a="1"/>
  <c r="V47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126" i="17" a="1"/>
  <c r="V126" i="17" s="1"/>
  <c r="V127" i="17" a="1"/>
  <c r="V127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158" i="17" a="1"/>
  <c r="V158" i="17" s="1"/>
  <c r="V159" i="17" a="1"/>
  <c r="V159" i="17" s="1"/>
  <c r="V14" i="17" a="1"/>
  <c r="V14" i="17" s="1"/>
  <c r="V15" i="17" a="1"/>
  <c r="V15" i="17" s="1"/>
  <c r="V16" i="17" a="1"/>
  <c r="V16" i="17" s="1"/>
  <c r="V17" i="17" a="1"/>
  <c r="V17" i="17" s="1"/>
  <c r="V36" i="17" a="1"/>
  <c r="V36" i="17" s="1"/>
  <c r="V37" i="17" a="1"/>
  <c r="V37" i="17" s="1"/>
  <c r="V38" i="17" a="1"/>
  <c r="V38" i="17" s="1"/>
  <c r="V39" i="17" a="1"/>
  <c r="V39" i="17" s="1"/>
  <c r="V40" i="17" a="1"/>
  <c r="V40" i="17" s="1"/>
  <c r="V41" i="17" a="1"/>
  <c r="V41" i="17" s="1"/>
  <c r="V48" i="17" a="1"/>
  <c r="V48" i="17" s="1"/>
  <c r="V49" i="17" a="1"/>
  <c r="V49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128" i="17" a="1"/>
  <c r="V128" i="17" s="1"/>
  <c r="V129" i="17" a="1"/>
  <c r="V129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160" i="17" a="1"/>
  <c r="V160" i="17" s="1"/>
  <c r="V161" i="17" a="1"/>
  <c r="V161" i="17" s="1"/>
  <c r="X2" i="17" a="1"/>
  <c r="X2" i="17" s="1"/>
  <c r="X3" i="17" a="1"/>
  <c r="X3" i="17" s="1"/>
  <c r="Y3" i="17" s="1"/>
  <c r="X4" i="17" a="1"/>
  <c r="X4" i="17" s="1"/>
  <c r="X5" i="17" a="1"/>
  <c r="X5" i="17" s="1"/>
  <c r="Y5" i="17" s="1"/>
  <c r="X18" i="17" a="1"/>
  <c r="X18" i="17" s="1"/>
  <c r="Y18" i="17" s="1"/>
  <c r="X19" i="17" a="1"/>
  <c r="X19" i="17" s="1"/>
  <c r="Y19" i="17" s="1"/>
  <c r="X20" i="17" a="1"/>
  <c r="X20" i="17" s="1"/>
  <c r="X21" i="17" a="1"/>
  <c r="X21" i="17" s="1"/>
  <c r="Y21" i="17" s="1"/>
  <c r="X22" i="17" a="1"/>
  <c r="X22" i="17" s="1"/>
  <c r="X23" i="17" a="1"/>
  <c r="X23" i="17" s="1"/>
  <c r="Y23" i="17" s="1"/>
  <c r="X42" i="17" a="1"/>
  <c r="X42" i="17" s="1"/>
  <c r="X43" i="17" a="1"/>
  <c r="X43" i="17" s="1"/>
  <c r="X50" i="17" a="1"/>
  <c r="X50" i="17" s="1"/>
  <c r="Y50" i="17" s="1"/>
  <c r="X51" i="17" a="1"/>
  <c r="X51" i="17"/>
  <c r="X52" i="17" a="1"/>
  <c r="X52" i="17" s="1"/>
  <c r="X53" i="17" a="1"/>
  <c r="X53" i="17" s="1"/>
  <c r="Y53" i="17" s="1"/>
  <c r="Q53" i="17" s="1"/>
  <c r="W53" i="17" s="1"/>
  <c r="X54" i="17" a="1"/>
  <c r="X54" i="17" s="1"/>
  <c r="X55" i="17" a="1"/>
  <c r="X55" i="17" s="1"/>
  <c r="Y55" i="17" s="1"/>
  <c r="X56" i="17" a="1"/>
  <c r="X56" i="17" s="1"/>
  <c r="X57" i="17" a="1"/>
  <c r="X57" i="17" s="1"/>
  <c r="Y57" i="17" s="1"/>
  <c r="X58" i="17" a="1"/>
  <c r="X58" i="17"/>
  <c r="X59" i="17" a="1"/>
  <c r="X59" i="17"/>
  <c r="Y59" i="17" s="1"/>
  <c r="X60" i="17" a="1"/>
  <c r="X60" i="17"/>
  <c r="X61" i="17" a="1"/>
  <c r="X61" i="17" s="1"/>
  <c r="Y61" i="17" s="1"/>
  <c r="X98" i="17" a="1"/>
  <c r="X98" i="17" s="1"/>
  <c r="X99" i="17" a="1"/>
  <c r="X99" i="17" s="1"/>
  <c r="Y99" i="17" s="1"/>
  <c r="X100" i="17" a="1"/>
  <c r="X100" i="17" s="1"/>
  <c r="Y100" i="17" s="1"/>
  <c r="X101" i="17" a="1"/>
  <c r="X101" i="17" s="1"/>
  <c r="X102" i="17" a="1"/>
  <c r="X102" i="17" s="1"/>
  <c r="Y102" i="17" s="1"/>
  <c r="X103" i="17" a="1"/>
  <c r="X103" i="17" s="1"/>
  <c r="Y103" i="17" s="1"/>
  <c r="X122" i="17" a="1"/>
  <c r="X122" i="17"/>
  <c r="X123" i="17" a="1"/>
  <c r="X123" i="17" s="1"/>
  <c r="Y123" i="17" s="1"/>
  <c r="Q123" i="17" s="1"/>
  <c r="W123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Y133" i="17" s="1"/>
  <c r="X134" i="17" a="1"/>
  <c r="X134" i="17" s="1"/>
  <c r="Y134" i="17" s="1"/>
  <c r="X135" i="17" a="1"/>
  <c r="X135" i="17"/>
  <c r="Y135" i="17" s="1"/>
  <c r="Q135" i="17" s="1"/>
  <c r="W135" i="17" s="1"/>
  <c r="X154" i="17" a="1"/>
  <c r="X154" i="17" s="1"/>
  <c r="Y154" i="17" s="1"/>
  <c r="X155" i="17" a="1"/>
  <c r="X155" i="17" s="1"/>
  <c r="Y155" i="17" s="1"/>
  <c r="Q155" i="17" s="1"/>
  <c r="W155" i="17" s="1"/>
  <c r="X6" i="17" a="1"/>
  <c r="X6" i="17" s="1"/>
  <c r="X7" i="17" a="1"/>
  <c r="X7" i="17" s="1"/>
  <c r="Y7" i="17" s="1"/>
  <c r="Q7" i="17" s="1"/>
  <c r="W7" i="17" s="1"/>
  <c r="X8" i="17" a="1"/>
  <c r="X8" i="17" s="1"/>
  <c r="X9" i="17" a="1"/>
  <c r="X9" i="17" s="1"/>
  <c r="Y9" i="17" s="1"/>
  <c r="Q9" i="17" s="1"/>
  <c r="W9" i="17" s="1"/>
  <c r="X24" i="17" a="1"/>
  <c r="X24" i="17" s="1"/>
  <c r="Y24" i="17" s="1"/>
  <c r="X25" i="17" a="1"/>
  <c r="X25" i="17" s="1"/>
  <c r="Y25" i="17" s="1"/>
  <c r="Q25" i="17" s="1"/>
  <c r="W25" i="17" s="1"/>
  <c r="X26" i="17" a="1"/>
  <c r="X26" i="17" s="1"/>
  <c r="X27" i="17" a="1"/>
  <c r="X27" i="17" s="1"/>
  <c r="X28" i="17" a="1"/>
  <c r="X28" i="17" s="1"/>
  <c r="X29" i="17" a="1"/>
  <c r="X29" i="17" s="1"/>
  <c r="Y29" i="17" s="1"/>
  <c r="Q29" i="17" s="1"/>
  <c r="W29" i="17" s="1"/>
  <c r="X44" i="17" a="1"/>
  <c r="X44" i="17" s="1"/>
  <c r="X45" i="17" a="1"/>
  <c r="X45" i="17" s="1"/>
  <c r="Y45" i="17" s="1"/>
  <c r="Q45" i="17" s="1"/>
  <c r="W45" i="17" s="1"/>
  <c r="X62" i="17" a="1"/>
  <c r="X62" i="17" s="1"/>
  <c r="Y62" i="17" s="1"/>
  <c r="X63" i="17" a="1"/>
  <c r="X63" i="17" s="1"/>
  <c r="Y63" i="17" s="1"/>
  <c r="Q63" i="17" s="1"/>
  <c r="W63" i="17" s="1"/>
  <c r="X64" i="17" a="1"/>
  <c r="X64" i="17" s="1"/>
  <c r="Y64" i="17" s="1"/>
  <c r="Q64" i="17" s="1"/>
  <c r="W64" i="17" s="1"/>
  <c r="X65" i="17" a="1"/>
  <c r="X65" i="17" s="1"/>
  <c r="X66" i="17" a="1"/>
  <c r="X66" i="17" s="1"/>
  <c r="X67" i="17" a="1"/>
  <c r="X67" i="17" s="1"/>
  <c r="Y67" i="17" s="1"/>
  <c r="Q67" i="17" s="1"/>
  <c r="W67" i="17" s="1"/>
  <c r="X68" i="17" a="1"/>
  <c r="X68" i="17" s="1"/>
  <c r="X69" i="17" a="1"/>
  <c r="X69" i="17" s="1"/>
  <c r="Y69" i="17" s="1"/>
  <c r="Q69" i="17" s="1"/>
  <c r="W69" i="17" s="1"/>
  <c r="X70" i="17" a="1"/>
  <c r="X70" i="17"/>
  <c r="X71" i="17" a="1"/>
  <c r="X71" i="17" s="1"/>
  <c r="Y71" i="17" s="1"/>
  <c r="Q71" i="17" s="1"/>
  <c r="W71" i="17" s="1"/>
  <c r="X72" i="17" a="1"/>
  <c r="X72" i="17" s="1"/>
  <c r="X73" i="17" a="1"/>
  <c r="X73" i="17" s="1"/>
  <c r="Y73" i="17" s="1"/>
  <c r="Q73" i="17" s="1"/>
  <c r="W73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X107" i="17" a="1"/>
  <c r="X107" i="17" s="1"/>
  <c r="Y107" i="17" s="1"/>
  <c r="Q107" i="17" s="1"/>
  <c r="W107" i="17" s="1"/>
  <c r="X108" i="17" a="1"/>
  <c r="X108" i="17"/>
  <c r="X109" i="17" a="1"/>
  <c r="X109" i="17"/>
  <c r="Y109" i="17" s="1"/>
  <c r="Q109" i="17" s="1"/>
  <c r="W109" i="17" s="1"/>
  <c r="X124" i="17" a="1"/>
  <c r="X124" i="17" s="1"/>
  <c r="X125" i="17" a="1"/>
  <c r="X125" i="17" s="1"/>
  <c r="Y125" i="17" s="1"/>
  <c r="Q125" i="17" s="1"/>
  <c r="W12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56" i="17" a="1"/>
  <c r="X156" i="17" s="1"/>
  <c r="X157" i="17" a="1"/>
  <c r="X157" i="17" s="1"/>
  <c r="X10" i="17" a="1"/>
  <c r="X10" i="17" s="1"/>
  <c r="X11" i="17" a="1"/>
  <c r="X11" i="17" s="1"/>
  <c r="Y11" i="17" s="1"/>
  <c r="Q11" i="17" s="1"/>
  <c r="W11" i="17" s="1"/>
  <c r="X12" i="17" a="1"/>
  <c r="X12" i="17" s="1"/>
  <c r="X13" i="17" a="1"/>
  <c r="X13" i="17" s="1"/>
  <c r="Y13" i="17" s="1"/>
  <c r="Q13" i="17" s="1"/>
  <c r="W13" i="17" s="1"/>
  <c r="X30" i="17" a="1"/>
  <c r="X30" i="17" s="1"/>
  <c r="Y30" i="17" s="1"/>
  <c r="Q30" i="17" s="1"/>
  <c r="W30" i="17" s="1"/>
  <c r="X31" i="17" a="1"/>
  <c r="X31" i="17" s="1"/>
  <c r="Y31" i="17" s="1"/>
  <c r="Q31" i="17" s="1"/>
  <c r="W31" i="17" s="1"/>
  <c r="X32" i="17" a="1"/>
  <c r="X32" i="17" s="1"/>
  <c r="X33" i="17" a="1"/>
  <c r="X33" i="17" s="1"/>
  <c r="X34" i="17" a="1"/>
  <c r="X34" i="17" s="1"/>
  <c r="X35" i="17" a="1"/>
  <c r="X35" i="17" s="1"/>
  <c r="Y35" i="17" s="1"/>
  <c r="Q35" i="17" s="1"/>
  <c r="W35" i="17" s="1"/>
  <c r="X46" i="17" a="1"/>
  <c r="X46" i="17" s="1"/>
  <c r="Y46" i="17" s="1"/>
  <c r="Q46" i="17" s="1"/>
  <c r="W46" i="17" s="1"/>
  <c r="X47" i="17" a="1"/>
  <c r="X47" i="17" s="1"/>
  <c r="Y47" i="17" s="1"/>
  <c r="Q47" i="17" s="1"/>
  <c r="W47" i="17" s="1"/>
  <c r="X74" i="17" a="1"/>
  <c r="X74" i="17"/>
  <c r="Y74" i="17" s="1"/>
  <c r="Q74" i="17" s="1"/>
  <c r="W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X78" i="17" a="1"/>
  <c r="X78" i="17" s="1"/>
  <c r="X79" i="17" a="1"/>
  <c r="X79" i="17" s="1"/>
  <c r="Y79" i="17" s="1"/>
  <c r="Q79" i="17" s="1"/>
  <c r="W79" i="17" s="1"/>
  <c r="X80" i="17" a="1"/>
  <c r="X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84" i="17" a="1"/>
  <c r="X84" i="17" s="1"/>
  <c r="X85" i="17" a="1"/>
  <c r="X85" i="17" s="1"/>
  <c r="Y85" i="17" s="1"/>
  <c r="Q85" i="17" s="1"/>
  <c r="W85" i="17" s="1"/>
  <c r="X110" i="17" a="1"/>
  <c r="X110" i="17" s="1"/>
  <c r="Y110" i="17" s="1"/>
  <c r="Q110" i="17" s="1"/>
  <c r="W110" i="17" s="1"/>
  <c r="X111" i="17" a="1"/>
  <c r="X111" i="17" s="1"/>
  <c r="Y111" i="17" s="1"/>
  <c r="Q111" i="17" s="1"/>
  <c r="W111" i="17" s="1"/>
  <c r="X112" i="17" a="1"/>
  <c r="X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126" i="17" a="1"/>
  <c r="X126" i="17" s="1"/>
  <c r="X127" i="17" a="1"/>
  <c r="X127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Y145" i="17" s="1"/>
  <c r="Q145" i="17" s="1"/>
  <c r="W145" i="17" s="1"/>
  <c r="X146" i="17" a="1"/>
  <c r="X146" i="17" s="1"/>
  <c r="Y146" i="17" s="1"/>
  <c r="Q146" i="17" s="1"/>
  <c r="W146" i="17" s="1"/>
  <c r="X147" i="17" a="1"/>
  <c r="X147" i="17" s="1"/>
  <c r="Y147" i="17" s="1"/>
  <c r="Q147" i="17" s="1"/>
  <c r="W147" i="17" s="1"/>
  <c r="X158" i="17" a="1"/>
  <c r="X158" i="17"/>
  <c r="X159" i="17" a="1"/>
  <c r="X159" i="17" s="1"/>
  <c r="Y159" i="17" s="1"/>
  <c r="Q159" i="17" s="1"/>
  <c r="W159" i="17" s="1"/>
  <c r="X14" i="17" a="1"/>
  <c r="X14" i="17" s="1"/>
  <c r="X15" i="17" a="1"/>
  <c r="X15" i="17" s="1"/>
  <c r="Y15" i="17" s="1"/>
  <c r="Q15" i="17" s="1"/>
  <c r="W15" i="17" s="1"/>
  <c r="X16" i="17" a="1"/>
  <c r="X16" i="17" s="1"/>
  <c r="X17" i="17" a="1"/>
  <c r="X17" i="17" s="1"/>
  <c r="Y17" i="17" s="1"/>
  <c r="Q17" i="17" s="1"/>
  <c r="W17" i="17" s="1"/>
  <c r="X36" i="17" a="1"/>
  <c r="X36" i="17" s="1"/>
  <c r="Y36" i="17" s="1"/>
  <c r="Q36" i="17" s="1"/>
  <c r="W36" i="17" s="1"/>
  <c r="X37" i="17" a="1"/>
  <c r="X37" i="17" s="1"/>
  <c r="Y37" i="17" s="1"/>
  <c r="Q37" i="17" s="1"/>
  <c r="W37" i="17" s="1"/>
  <c r="X38" i="17" a="1"/>
  <c r="X38" i="17"/>
  <c r="Y38" i="17" s="1"/>
  <c r="Q38" i="17" s="1"/>
  <c r="W38" i="17" s="1"/>
  <c r="X39" i="17" a="1"/>
  <c r="X39" i="17" s="1"/>
  <c r="Y39" i="17" s="1"/>
  <c r="Q39" i="17" s="1"/>
  <c r="W39" i="17" s="1"/>
  <c r="X40" i="17" a="1"/>
  <c r="X40" i="17" s="1"/>
  <c r="X41" i="17" a="1"/>
  <c r="X41" i="17" s="1"/>
  <c r="Y41" i="17" s="1"/>
  <c r="Q41" i="17" s="1"/>
  <c r="W41" i="17" s="1"/>
  <c r="X48" i="17" a="1"/>
  <c r="X48" i="17" s="1"/>
  <c r="X49" i="17" a="1"/>
  <c r="X49" i="17" s="1"/>
  <c r="Y49" i="17" s="1"/>
  <c r="Q49" i="17" s="1"/>
  <c r="W49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X89" i="17" a="1"/>
  <c r="X89" i="17" s="1"/>
  <c r="Y89" i="17" s="1"/>
  <c r="Q89" i="17" s="1"/>
  <c r="W89" i="17" s="1"/>
  <c r="X90" i="17" a="1"/>
  <c r="X90" i="17" s="1"/>
  <c r="X91" i="17" a="1"/>
  <c r="X91" i="17" s="1"/>
  <c r="Y91" i="17" s="1"/>
  <c r="Q91" i="17" s="1"/>
  <c r="W91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94" i="17" a="1"/>
  <c r="X94" i="17" s="1"/>
  <c r="Y94" i="17" s="1"/>
  <c r="Q94" i="17" s="1"/>
  <c r="W94" i="17" s="1"/>
  <c r="X95" i="17" a="1"/>
  <c r="X95" i="17"/>
  <c r="Y95" i="17" s="1"/>
  <c r="Q95" i="17" s="1"/>
  <c r="W95" i="17" s="1"/>
  <c r="X96" i="17" a="1"/>
  <c r="X96" i="17" s="1"/>
  <c r="Y96" i="17" s="1"/>
  <c r="Q96" i="17" s="1"/>
  <c r="W96" i="17" s="1"/>
  <c r="X97" i="17" a="1"/>
  <c r="X97" i="17" s="1"/>
  <c r="X116" i="17" a="1"/>
  <c r="X116" i="17" s="1"/>
  <c r="X117" i="17" a="1"/>
  <c r="X117" i="17" s="1"/>
  <c r="Y117" i="17" s="1"/>
  <c r="Q117" i="17" s="1"/>
  <c r="W117" i="17" s="1"/>
  <c r="X118" i="17" a="1"/>
  <c r="X118" i="17" s="1"/>
  <c r="X119" i="17" a="1"/>
  <c r="X119" i="17" s="1"/>
  <c r="Y119" i="17" s="1"/>
  <c r="Q119" i="17" s="1"/>
  <c r="W119" i="17" s="1"/>
  <c r="X120" i="17" a="1"/>
  <c r="X120" i="17"/>
  <c r="Y120" i="17" s="1"/>
  <c r="Q120" i="17" s="1"/>
  <c r="W120" i="17" s="1"/>
  <c r="X121" i="17" a="1"/>
  <c r="X121" i="17"/>
  <c r="Y121" i="17" s="1"/>
  <c r="Q121" i="17" s="1"/>
  <c r="W121" i="17" s="1"/>
  <c r="X128" i="17" a="1"/>
  <c r="X128" i="17"/>
  <c r="X129" i="17" a="1"/>
  <c r="X129" i="17" s="1"/>
  <c r="Y129" i="17" s="1"/>
  <c r="Q129" i="17" s="1"/>
  <c r="W129" i="17" s="1"/>
  <c r="X148" i="17" a="1"/>
  <c r="X148" i="17" s="1"/>
  <c r="Y148" i="17" s="1"/>
  <c r="Q148" i="17" s="1"/>
  <c r="W148" i="17" s="1"/>
  <c r="X149" i="17" a="1"/>
  <c r="X149" i="17" s="1"/>
  <c r="Y149" i="17" s="1"/>
  <c r="X150" i="17" a="1"/>
  <c r="X150" i="17" s="1"/>
  <c r="X151" i="17" a="1"/>
  <c r="X151" i="17" s="1"/>
  <c r="Y151" i="17" s="1"/>
  <c r="Q151" i="17" s="1"/>
  <c r="W151" i="17" s="1"/>
  <c r="X152" i="17" a="1"/>
  <c r="X152" i="17" s="1"/>
  <c r="Y152" i="17" s="1"/>
  <c r="Q152" i="17" s="1"/>
  <c r="W152" i="17" s="1"/>
  <c r="X153" i="17" a="1"/>
  <c r="X153" i="17" s="1"/>
  <c r="Y153" i="17" s="1"/>
  <c r="Q153" i="17" s="1"/>
  <c r="W153" i="17" s="1"/>
  <c r="X160" i="17" a="1"/>
  <c r="X160" i="17"/>
  <c r="Y160" i="17" s="1"/>
  <c r="Q160" i="17" s="1"/>
  <c r="W160" i="17" s="1"/>
  <c r="X161" i="17" a="1"/>
  <c r="X161" i="17" s="1"/>
  <c r="Y161" i="17" s="1"/>
  <c r="Q161" i="17" s="1"/>
  <c r="W161" i="17" s="1"/>
  <c r="Y43" i="17"/>
  <c r="Y51" i="17"/>
  <c r="Y58" i="17"/>
  <c r="Y101" i="17"/>
  <c r="Y27" i="17"/>
  <c r="Q27" i="17" s="1"/>
  <c r="W27" i="17" s="1"/>
  <c r="Y65" i="17"/>
  <c r="Q65" i="17" s="1"/>
  <c r="W65" i="17" s="1"/>
  <c r="Y70" i="17"/>
  <c r="Y108" i="17"/>
  <c r="Y157" i="17"/>
  <c r="Q157" i="17" s="1"/>
  <c r="W157" i="17" s="1"/>
  <c r="Y33" i="17"/>
  <c r="Q33" i="17" s="1"/>
  <c r="W33" i="17" s="1"/>
  <c r="Y77" i="17"/>
  <c r="Q77" i="17" s="1"/>
  <c r="W77" i="17" s="1"/>
  <c r="Y127" i="17"/>
  <c r="Q127" i="17" s="1"/>
  <c r="W127" i="17" s="1"/>
  <c r="Y97" i="17"/>
  <c r="Q97" i="17" s="1"/>
  <c r="W97" i="17" s="1"/>
  <c r="G2" i="16"/>
  <c r="N210" i="20" l="1"/>
  <c r="N178" i="20"/>
  <c r="N114" i="20"/>
  <c r="N82" i="20"/>
  <c r="N18" i="20"/>
  <c r="N150" i="20"/>
  <c r="N118" i="20"/>
  <c r="N61" i="20"/>
  <c r="N221" i="20"/>
  <c r="N157" i="20"/>
  <c r="N93" i="20"/>
  <c r="N29" i="20"/>
  <c r="N189" i="20"/>
  <c r="N139" i="20"/>
  <c r="N75" i="20"/>
  <c r="N11" i="20"/>
  <c r="O53" i="18" a="1"/>
  <c r="O53" i="18" s="1"/>
  <c r="O45" i="18" a="1"/>
  <c r="O45" i="18" s="1"/>
  <c r="O37" i="18" a="1"/>
  <c r="O37" i="18" s="1"/>
  <c r="O29" i="18" a="1"/>
  <c r="O29" i="18" s="1"/>
  <c r="O21" i="18" a="1"/>
  <c r="O21" i="18" s="1"/>
  <c r="O36" i="18" a="1"/>
  <c r="O36" i="18" s="1"/>
  <c r="O28" i="18" a="1"/>
  <c r="O28" i="18" s="1"/>
  <c r="O20" i="18" a="1"/>
  <c r="O20" i="18" s="1"/>
  <c r="O10" i="18" a="1"/>
  <c r="O10" i="18" s="1"/>
  <c r="O19" i="18" a="1"/>
  <c r="O19" i="18" s="1"/>
  <c r="O8" i="18" a="1"/>
  <c r="O8" i="18" s="1"/>
  <c r="O34" i="18" a="1"/>
  <c r="O34" i="18" s="1"/>
  <c r="O26" i="18" a="1"/>
  <c r="O26" i="18" s="1"/>
  <c r="O18" i="18" a="1"/>
  <c r="O18" i="18" s="1"/>
  <c r="O7" i="18" a="1"/>
  <c r="O7" i="18" s="1"/>
  <c r="O41" i="18" a="1"/>
  <c r="O41" i="18" s="1"/>
  <c r="O33" i="18" a="1"/>
  <c r="O33" i="18" s="1"/>
  <c r="O25" i="18" a="1"/>
  <c r="O25" i="18" s="1"/>
  <c r="O13" i="18" a="1"/>
  <c r="O13" i="18" s="1"/>
  <c r="O5" i="18" a="1"/>
  <c r="O5" i="18" s="1"/>
  <c r="O3" i="18" a="1"/>
  <c r="O3" i="18" s="1"/>
  <c r="O22" i="18" a="1"/>
  <c r="O22" i="18" s="1"/>
  <c r="O12" i="18" a="1"/>
  <c r="O12" i="18" s="1"/>
  <c r="O17" i="18" a="1"/>
  <c r="O17" i="18" s="1"/>
  <c r="O9" i="18" a="1"/>
  <c r="O9" i="18" s="1"/>
  <c r="R53" i="18"/>
  <c r="U53" i="18" s="1"/>
  <c r="R45" i="18"/>
  <c r="U45" i="18" s="1"/>
  <c r="R37" i="18"/>
  <c r="U37" i="18" s="1"/>
  <c r="R29" i="18"/>
  <c r="U29" i="18" s="1"/>
  <c r="R21" i="18"/>
  <c r="U21" i="18" s="1"/>
  <c r="R13" i="18"/>
  <c r="U13" i="18" s="1"/>
  <c r="R5" i="18"/>
  <c r="U5" i="18" s="1"/>
  <c r="R51" i="18"/>
  <c r="U51" i="18" s="1"/>
  <c r="R43" i="18"/>
  <c r="U43" i="18" s="1"/>
  <c r="R35" i="18"/>
  <c r="U35" i="18" s="1"/>
  <c r="R27" i="18"/>
  <c r="U27" i="18" s="1"/>
  <c r="R19" i="18"/>
  <c r="U19" i="18" s="1"/>
  <c r="R11" i="18"/>
  <c r="U11" i="18" s="1"/>
  <c r="R3" i="18"/>
  <c r="U3" i="18" s="1"/>
  <c r="R49" i="18"/>
  <c r="U49" i="18" s="1"/>
  <c r="R41" i="18"/>
  <c r="U41" i="18" s="1"/>
  <c r="R33" i="18"/>
  <c r="U33" i="18" s="1"/>
  <c r="R25" i="18"/>
  <c r="U25" i="18" s="1"/>
  <c r="R17" i="18"/>
  <c r="U17" i="18" s="1"/>
  <c r="R9" i="18"/>
  <c r="U9" i="18" s="1"/>
  <c r="R47" i="18"/>
  <c r="U47" i="18" s="1"/>
  <c r="R39" i="18"/>
  <c r="U39" i="18" s="1"/>
  <c r="R31" i="18"/>
  <c r="U31" i="18" s="1"/>
  <c r="R23" i="18"/>
  <c r="U23" i="18" s="1"/>
  <c r="R15" i="18"/>
  <c r="U15" i="18" s="1"/>
  <c r="R7" i="18"/>
  <c r="U7" i="18" s="1"/>
  <c r="Y32" i="17"/>
  <c r="Q32" i="17" s="1"/>
  <c r="W32" i="17" s="1"/>
  <c r="Y158" i="17"/>
  <c r="Q158" i="17" s="1"/>
  <c r="W158" i="17" s="1"/>
  <c r="Y124" i="17"/>
  <c r="Q124" i="17" s="1"/>
  <c r="W124" i="17" s="1"/>
  <c r="Y72" i="17"/>
  <c r="Q72" i="17" s="1"/>
  <c r="W72" i="17" s="1"/>
  <c r="Y52" i="17"/>
  <c r="N85" i="17" a="1"/>
  <c r="N85" i="17" s="1"/>
  <c r="N77" i="17" a="1"/>
  <c r="N77" i="17" s="1"/>
  <c r="N33" i="17" a="1"/>
  <c r="N33" i="17" s="1"/>
  <c r="N157" i="17" a="1"/>
  <c r="N157" i="17" s="1"/>
  <c r="N125" i="17" a="1"/>
  <c r="N125" i="17" s="1"/>
  <c r="N65" i="17" a="1"/>
  <c r="N65" i="17" s="1"/>
  <c r="N27" i="17" a="1"/>
  <c r="N27" i="17" s="1"/>
  <c r="N155" i="17" a="1"/>
  <c r="N155" i="17" s="1"/>
  <c r="N123" i="17" a="1"/>
  <c r="N123" i="17" s="1"/>
  <c r="N53" i="17" a="1"/>
  <c r="N53" i="17" s="1"/>
  <c r="N2" i="17" a="1"/>
  <c r="N2" i="17" s="1"/>
  <c r="Y126" i="17"/>
  <c r="Q126" i="17" s="1"/>
  <c r="W126" i="17" s="1"/>
  <c r="Q61" i="17"/>
  <c r="W61" i="17" s="1"/>
  <c r="O108" i="17" a="1"/>
  <c r="O108" i="17" s="1"/>
  <c r="Q108" i="17" s="1"/>
  <c r="W108" i="17" s="1"/>
  <c r="O70" i="17" a="1"/>
  <c r="O70" i="17" s="1"/>
  <c r="O62" i="17" a="1"/>
  <c r="O62" i="17" s="1"/>
  <c r="Q62" i="17" s="1"/>
  <c r="W62" i="17" s="1"/>
  <c r="O24" i="17" a="1"/>
  <c r="O24" i="17" s="1"/>
  <c r="Q24" i="17" s="1"/>
  <c r="W24" i="17" s="1"/>
  <c r="O134" i="17" a="1"/>
  <c r="O134" i="17" s="1"/>
  <c r="O103" i="17" a="1"/>
  <c r="O103" i="17" s="1"/>
  <c r="O60" i="17" a="1"/>
  <c r="O60" i="17" s="1"/>
  <c r="Q60" i="17" s="1"/>
  <c r="W60" i="17" s="1"/>
  <c r="O52" i="17" a="1"/>
  <c r="O52" i="17" s="1"/>
  <c r="O21" i="17" a="1"/>
  <c r="O21" i="17" s="1"/>
  <c r="N39" i="17" a="1"/>
  <c r="N39" i="17" s="1"/>
  <c r="N140" i="17" a="1"/>
  <c r="N140" i="17" s="1"/>
  <c r="Y20" i="17"/>
  <c r="Y88" i="17"/>
  <c r="Q88" i="17" s="1"/>
  <c r="W88" i="17" s="1"/>
  <c r="Y40" i="17"/>
  <c r="Q40" i="17" s="1"/>
  <c r="W40" i="17" s="1"/>
  <c r="Q134" i="17"/>
  <c r="W134" i="17" s="1"/>
  <c r="Q103" i="17"/>
  <c r="W103" i="17" s="1"/>
  <c r="Y42" i="17"/>
  <c r="O133" i="17" a="1"/>
  <c r="O133" i="17" s="1"/>
  <c r="O102" i="17" a="1"/>
  <c r="O102" i="17" s="1"/>
  <c r="Q102" i="17" s="1"/>
  <c r="W102" i="17" s="1"/>
  <c r="O59" i="17" a="1"/>
  <c r="O59" i="17" s="1"/>
  <c r="O51" i="17" a="1"/>
  <c r="O51" i="17" s="1"/>
  <c r="Q51" i="17" s="1"/>
  <c r="W51" i="17" s="1"/>
  <c r="O20" i="17" a="1"/>
  <c r="O20" i="17" s="1"/>
  <c r="N160" i="17" a="1"/>
  <c r="N160" i="17" s="1"/>
  <c r="N128" i="17" a="1"/>
  <c r="N128" i="17" s="1"/>
  <c r="N96" i="17" a="1"/>
  <c r="N96" i="17" s="1"/>
  <c r="N37" i="17" a="1"/>
  <c r="N37" i="17" s="1"/>
  <c r="N126" i="17" a="1"/>
  <c r="N126" i="17" s="1"/>
  <c r="Q70" i="17"/>
  <c r="W70" i="17" s="1"/>
  <c r="Y8" i="17"/>
  <c r="Q8" i="17" s="1"/>
  <c r="W8" i="17" s="1"/>
  <c r="Q133" i="17"/>
  <c r="W133" i="17" s="1"/>
  <c r="Y54" i="17"/>
  <c r="Q23" i="17"/>
  <c r="W23" i="17" s="1"/>
  <c r="O101" i="17" a="1"/>
  <c r="O101" i="17" s="1"/>
  <c r="O58" i="17" a="1"/>
  <c r="O58" i="17" s="1"/>
  <c r="Q58" i="17" s="1"/>
  <c r="W58" i="17" s="1"/>
  <c r="O50" i="17" a="1"/>
  <c r="O50" i="17" s="1"/>
  <c r="Q50" i="17" s="1"/>
  <c r="W50" i="17" s="1"/>
  <c r="O19" i="17" a="1"/>
  <c r="O19" i="17" s="1"/>
  <c r="Q19" i="17" s="1"/>
  <c r="W19" i="17" s="1"/>
  <c r="N153" i="17" a="1"/>
  <c r="N153" i="17" s="1"/>
  <c r="N121" i="17" a="1"/>
  <c r="N121" i="17" s="1"/>
  <c r="N95" i="17" a="1"/>
  <c r="N95" i="17" s="1"/>
  <c r="N88" i="17" a="1"/>
  <c r="N88" i="17" s="1"/>
  <c r="N36" i="17" a="1"/>
  <c r="N36" i="17" s="1"/>
  <c r="N110" i="17" a="1"/>
  <c r="N110" i="17" s="1"/>
  <c r="N44" i="17" a="1"/>
  <c r="N44" i="17" s="1"/>
  <c r="Y128" i="17"/>
  <c r="Q128" i="17" s="1"/>
  <c r="W128" i="17" s="1"/>
  <c r="Y84" i="17"/>
  <c r="Q84" i="17" s="1"/>
  <c r="W84" i="17" s="1"/>
  <c r="Y14" i="17"/>
  <c r="Q14" i="17" s="1"/>
  <c r="W14" i="17" s="1"/>
  <c r="Y144" i="17"/>
  <c r="Q144" i="17" s="1"/>
  <c r="W144" i="17" s="1"/>
  <c r="Y28" i="17"/>
  <c r="Q28" i="17" s="1"/>
  <c r="W28" i="17" s="1"/>
  <c r="Q59" i="17"/>
  <c r="W59" i="17" s="1"/>
  <c r="O100" i="17" a="1"/>
  <c r="O100" i="17" s="1"/>
  <c r="O57" i="17" a="1"/>
  <c r="O57" i="17" s="1"/>
  <c r="Q57" i="17" s="1"/>
  <c r="W57" i="17" s="1"/>
  <c r="O43" i="17" a="1"/>
  <c r="O43" i="17" s="1"/>
  <c r="Q43" i="17" s="1"/>
  <c r="W43" i="17" s="1"/>
  <c r="O18" i="17" a="1"/>
  <c r="O18" i="17" s="1"/>
  <c r="Q18" i="17" s="1"/>
  <c r="W18" i="17" s="1"/>
  <c r="N152" i="17" a="1"/>
  <c r="N152" i="17" s="1"/>
  <c r="N120" i="17" a="1"/>
  <c r="N120" i="17" s="1"/>
  <c r="N94" i="17" a="1"/>
  <c r="N94" i="17" s="1"/>
  <c r="N87" i="17" a="1"/>
  <c r="N87" i="17" s="1"/>
  <c r="N17" i="17" a="1"/>
  <c r="N17" i="17" s="1"/>
  <c r="N80" i="17" a="1"/>
  <c r="N80" i="17" s="1"/>
  <c r="N135" i="17" a="1"/>
  <c r="N135" i="17" s="1"/>
  <c r="Y118" i="17"/>
  <c r="Q118" i="17" s="1"/>
  <c r="W118" i="17" s="1"/>
  <c r="Y138" i="17"/>
  <c r="Q138" i="17" s="1"/>
  <c r="W138" i="17" s="1"/>
  <c r="Q21" i="17"/>
  <c r="W21" i="17" s="1"/>
  <c r="O6" i="17" a="1"/>
  <c r="O6" i="17" s="1"/>
  <c r="O130" i="17" a="1"/>
  <c r="O130" i="17" s="1"/>
  <c r="O99" i="17" a="1"/>
  <c r="O99" i="17" s="1"/>
  <c r="O56" i="17" a="1"/>
  <c r="O56" i="17" s="1"/>
  <c r="O5" i="17" a="1"/>
  <c r="O5" i="17" s="1"/>
  <c r="Q5" i="17" s="1"/>
  <c r="W5" i="17" s="1"/>
  <c r="N151" i="17" a="1"/>
  <c r="N151" i="17" s="1"/>
  <c r="N119" i="17" a="1"/>
  <c r="N119" i="17" s="1"/>
  <c r="N93" i="17" a="1"/>
  <c r="N93" i="17" s="1"/>
  <c r="N86" i="17" a="1"/>
  <c r="N86" i="17" s="1"/>
  <c r="N79" i="17" a="1"/>
  <c r="N79" i="17" s="1"/>
  <c r="N103" i="17" a="1"/>
  <c r="N103" i="17" s="1"/>
  <c r="Q101" i="17"/>
  <c r="W101" i="17" s="1"/>
  <c r="Y10" i="17"/>
  <c r="Q10" i="17" s="1"/>
  <c r="W10" i="17" s="1"/>
  <c r="Y130" i="17"/>
  <c r="Q130" i="17" s="1"/>
  <c r="W130" i="17" s="1"/>
  <c r="Q100" i="17"/>
  <c r="W100" i="17" s="1"/>
  <c r="O98" i="17" a="1"/>
  <c r="O98" i="17" s="1"/>
  <c r="O55" i="17" a="1"/>
  <c r="O55" i="17" s="1"/>
  <c r="Q55" i="17" s="1"/>
  <c r="W55" i="17" s="1"/>
  <c r="O42" i="17" a="1"/>
  <c r="O42" i="17" s="1"/>
  <c r="O4" i="17" a="1"/>
  <c r="O4" i="17" s="1"/>
  <c r="N150" i="17" a="1"/>
  <c r="N150" i="17" s="1"/>
  <c r="N118" i="17" a="1"/>
  <c r="N118" i="17" s="1"/>
  <c r="N92" i="17" a="1"/>
  <c r="N92" i="17" s="1"/>
  <c r="N49" i="17" a="1"/>
  <c r="N49" i="17" s="1"/>
  <c r="N158" i="17" a="1"/>
  <c r="N158" i="17" s="1"/>
  <c r="N46" i="17" a="1"/>
  <c r="N46" i="17" s="1"/>
  <c r="Y80" i="17"/>
  <c r="Q80" i="17" s="1"/>
  <c r="W80" i="17" s="1"/>
  <c r="Q99" i="17"/>
  <c r="W99" i="17" s="1"/>
  <c r="O154" i="17" a="1"/>
  <c r="O154" i="17" s="1"/>
  <c r="Q154" i="17" s="1"/>
  <c r="W154" i="17" s="1"/>
  <c r="O54" i="17" a="1"/>
  <c r="O54" i="17" s="1"/>
  <c r="O3" i="17" a="1"/>
  <c r="O3" i="17" s="1"/>
  <c r="Q3" i="17" s="1"/>
  <c r="W3" i="17" s="1"/>
  <c r="N149" i="17" a="1"/>
  <c r="N149" i="17" s="1"/>
  <c r="N117" i="17" a="1"/>
  <c r="N117" i="17" s="1"/>
  <c r="N91" i="17" a="1"/>
  <c r="N91" i="17" s="1"/>
  <c r="N41" i="17" a="1"/>
  <c r="N41" i="17" s="1"/>
  <c r="N144" i="17" a="1"/>
  <c r="N144" i="17" s="1"/>
  <c r="N31" i="17" a="1"/>
  <c r="N31" i="17" s="1"/>
  <c r="N54" i="17" a="1"/>
  <c r="N54" i="17" s="1"/>
  <c r="Y26" i="17"/>
  <c r="Q26" i="17" s="1"/>
  <c r="W26" i="17" s="1"/>
  <c r="Y156" i="17"/>
  <c r="Q156" i="17" s="1"/>
  <c r="W156" i="17" s="1"/>
  <c r="Y116" i="17"/>
  <c r="Q116" i="17" s="1"/>
  <c r="W116" i="17" s="1"/>
  <c r="Y132" i="17"/>
  <c r="Q132" i="17" s="1"/>
  <c r="W132" i="17" s="1"/>
  <c r="N48" i="17" a="1"/>
  <c r="N48" i="17" s="1"/>
  <c r="N147" i="17" a="1"/>
  <c r="N147" i="17" s="1"/>
  <c r="N115" i="17" a="1"/>
  <c r="N115" i="17" s="1"/>
  <c r="N78" i="17" a="1"/>
  <c r="N78" i="17" s="1"/>
  <c r="N35" i="17" a="1"/>
  <c r="N35" i="17" s="1"/>
  <c r="N13" i="17" a="1"/>
  <c r="N13" i="17" s="1"/>
  <c r="N139" i="17" a="1"/>
  <c r="N139" i="17" s="1"/>
  <c r="N124" i="17" a="1"/>
  <c r="N124" i="17" s="1"/>
  <c r="N72" i="17" a="1"/>
  <c r="N72" i="17" s="1"/>
  <c r="N66" i="17" a="1"/>
  <c r="N66" i="17" s="1"/>
  <c r="N29" i="17" a="1"/>
  <c r="N29" i="17" s="1"/>
  <c r="N8" i="17" a="1"/>
  <c r="N8" i="17" s="1"/>
  <c r="N134" i="17" a="1"/>
  <c r="N134" i="17" s="1"/>
  <c r="N102" i="17" a="1"/>
  <c r="N102" i="17" s="1"/>
  <c r="Y16" i="17"/>
  <c r="Q16" i="17" s="1"/>
  <c r="W16" i="17" s="1"/>
  <c r="Y68" i="17"/>
  <c r="Q68" i="17" s="1"/>
  <c r="W68" i="17" s="1"/>
  <c r="Y66" i="17"/>
  <c r="Q66" i="17" s="1"/>
  <c r="W66" i="17" s="1"/>
  <c r="N16" i="17" a="1"/>
  <c r="N16" i="17" s="1"/>
  <c r="N146" i="17" a="1"/>
  <c r="N146" i="17" s="1"/>
  <c r="N114" i="17" a="1"/>
  <c r="N114" i="17" s="1"/>
  <c r="N12" i="17" a="1"/>
  <c r="N12" i="17" s="1"/>
  <c r="N109" i="17" a="1"/>
  <c r="N109" i="17" s="1"/>
  <c r="N71" i="17" a="1"/>
  <c r="N71" i="17" s="1"/>
  <c r="N28" i="17" a="1"/>
  <c r="N28" i="17" s="1"/>
  <c r="N7" i="17" a="1"/>
  <c r="N7" i="17" s="1"/>
  <c r="N133" i="17" a="1"/>
  <c r="N133" i="17" s="1"/>
  <c r="N101" i="17" a="1"/>
  <c r="N101" i="17" s="1"/>
  <c r="N60" i="17" a="1"/>
  <c r="N60" i="17" s="1"/>
  <c r="N52" i="17" a="1"/>
  <c r="N52" i="17" s="1"/>
  <c r="N20" i="17" a="1"/>
  <c r="N20" i="17" s="1"/>
  <c r="N4" i="17" a="1"/>
  <c r="N4" i="17" s="1"/>
  <c r="Y6" i="17"/>
  <c r="Q6" i="17" s="1"/>
  <c r="W6" i="17" s="1"/>
  <c r="Y78" i="17"/>
  <c r="Q78" i="17" s="1"/>
  <c r="W78" i="17" s="1"/>
  <c r="Y44" i="17"/>
  <c r="Q44" i="17" s="1"/>
  <c r="W44" i="17" s="1"/>
  <c r="N15" i="17" a="1"/>
  <c r="N15" i="17" s="1"/>
  <c r="N145" i="17" a="1"/>
  <c r="N145" i="17" s="1"/>
  <c r="N113" i="17" a="1"/>
  <c r="N113" i="17" s="1"/>
  <c r="N84" i="17" a="1"/>
  <c r="N84" i="17" s="1"/>
  <c r="N76" i="17" a="1"/>
  <c r="N76" i="17" s="1"/>
  <c r="N34" i="17" a="1"/>
  <c r="N34" i="17" s="1"/>
  <c r="N11" i="17" a="1"/>
  <c r="N11" i="17" s="1"/>
  <c r="N138" i="17" a="1"/>
  <c r="N138" i="17" s="1"/>
  <c r="N108" i="17" a="1"/>
  <c r="N108" i="17" s="1"/>
  <c r="N70" i="17" a="1"/>
  <c r="N70" i="17" s="1"/>
  <c r="N132" i="17" a="1"/>
  <c r="N132" i="17" s="1"/>
  <c r="N59" i="17" a="1"/>
  <c r="N59" i="17" s="1"/>
  <c r="N51" i="17" a="1"/>
  <c r="N51" i="17" s="1"/>
  <c r="N19" i="17" a="1"/>
  <c r="N19" i="17" s="1"/>
  <c r="Y136" i="17"/>
  <c r="Q136" i="17" s="1"/>
  <c r="W136" i="17" s="1"/>
  <c r="Y22" i="17"/>
  <c r="Q22" i="17" s="1"/>
  <c r="W22" i="17" s="1"/>
  <c r="N83" i="17" a="1"/>
  <c r="N83" i="17" s="1"/>
  <c r="N75" i="17" a="1"/>
  <c r="N75" i="17" s="1"/>
  <c r="N10" i="17" a="1"/>
  <c r="N10" i="17" s="1"/>
  <c r="N137" i="17" a="1"/>
  <c r="N137" i="17" s="1"/>
  <c r="N107" i="17" a="1"/>
  <c r="N107" i="17" s="1"/>
  <c r="N69" i="17" a="1"/>
  <c r="N69" i="17" s="1"/>
  <c r="N64" i="17" a="1"/>
  <c r="N64" i="17" s="1"/>
  <c r="N26" i="17" a="1"/>
  <c r="N26" i="17" s="1"/>
  <c r="N6" i="17" a="1"/>
  <c r="N6" i="17" s="1"/>
  <c r="N131" i="17" a="1"/>
  <c r="N131" i="17" s="1"/>
  <c r="N100" i="17" a="1"/>
  <c r="N100" i="17" s="1"/>
  <c r="N58" i="17" a="1"/>
  <c r="N58" i="17" s="1"/>
  <c r="N50" i="17" a="1"/>
  <c r="N50" i="17" s="1"/>
  <c r="N18" i="17" a="1"/>
  <c r="N18" i="17" s="1"/>
  <c r="Y150" i="17"/>
  <c r="Q150" i="17" s="1"/>
  <c r="W150" i="17" s="1"/>
  <c r="Q149" i="17"/>
  <c r="W149" i="17" s="1"/>
  <c r="Y106" i="17"/>
  <c r="Q106" i="17" s="1"/>
  <c r="W106" i="17" s="1"/>
  <c r="Y122" i="17"/>
  <c r="Q122" i="17" s="1"/>
  <c r="W122" i="17" s="1"/>
  <c r="Y4" i="17"/>
  <c r="Q4" i="17" s="1"/>
  <c r="W4" i="17" s="1"/>
  <c r="N38" i="17" a="1"/>
  <c r="N38" i="17" s="1"/>
  <c r="N14" i="17" a="1"/>
  <c r="N14" i="17" s="1"/>
  <c r="N143" i="17" a="1"/>
  <c r="N143" i="17" s="1"/>
  <c r="N112" i="17" a="1"/>
  <c r="N112" i="17" s="1"/>
  <c r="N82" i="17" a="1"/>
  <c r="N82" i="17" s="1"/>
  <c r="N74" i="17" a="1"/>
  <c r="N74" i="17" s="1"/>
  <c r="N106" i="17" a="1"/>
  <c r="N106" i="17" s="1"/>
  <c r="N63" i="17" a="1"/>
  <c r="N63" i="17" s="1"/>
  <c r="N25" i="17" a="1"/>
  <c r="N25" i="17" s="1"/>
  <c r="N130" i="17" a="1"/>
  <c r="N130" i="17" s="1"/>
  <c r="N99" i="17" a="1"/>
  <c r="N99" i="17" s="1"/>
  <c r="N57" i="17" a="1"/>
  <c r="N57" i="17" s="1"/>
  <c r="N43" i="17" a="1"/>
  <c r="N43" i="17" s="1"/>
  <c r="N5" i="17" a="1"/>
  <c r="N5" i="17" s="1"/>
  <c r="Y90" i="17"/>
  <c r="Q90" i="17" s="1"/>
  <c r="W90" i="17" s="1"/>
  <c r="Y48" i="17"/>
  <c r="Q48" i="17" s="1"/>
  <c r="W48" i="17" s="1"/>
  <c r="Y142" i="17"/>
  <c r="Q142" i="17" s="1"/>
  <c r="W142" i="17" s="1"/>
  <c r="Y112" i="17"/>
  <c r="Q112" i="17" s="1"/>
  <c r="W112" i="17" s="1"/>
  <c r="Y34" i="17"/>
  <c r="Q34" i="17" s="1"/>
  <c r="W34" i="17" s="1"/>
  <c r="Y98" i="17"/>
  <c r="Q98" i="17" s="1"/>
  <c r="W98" i="17" s="1"/>
  <c r="N111" i="17" a="1"/>
  <c r="N111" i="17" s="1"/>
  <c r="N81" i="17" a="1"/>
  <c r="N81" i="17" s="1"/>
  <c r="N47" i="17" a="1"/>
  <c r="N47" i="17" s="1"/>
  <c r="N32" i="17" a="1"/>
  <c r="N32" i="17" s="1"/>
  <c r="N156" i="17" a="1"/>
  <c r="N156" i="17" s="1"/>
  <c r="N136" i="17" a="1"/>
  <c r="N136" i="17" s="1"/>
  <c r="N105" i="17" a="1"/>
  <c r="N105" i="17" s="1"/>
  <c r="N68" i="17" a="1"/>
  <c r="N68" i="17" s="1"/>
  <c r="N62" i="17" a="1"/>
  <c r="N62" i="17" s="1"/>
  <c r="N24" i="17" a="1"/>
  <c r="N24" i="17" s="1"/>
  <c r="N56" i="17" a="1"/>
  <c r="N56" i="17" s="1"/>
  <c r="N23" i="17" a="1"/>
  <c r="N23" i="17" s="1"/>
  <c r="N3" i="17" a="1"/>
  <c r="N3" i="17" s="1"/>
  <c r="Y12" i="17"/>
  <c r="Q12" i="17" s="1"/>
  <c r="W12" i="17" s="1"/>
  <c r="Y104" i="17"/>
  <c r="Q104" i="17" s="1"/>
  <c r="W104" i="17" s="1"/>
  <c r="Y56" i="17"/>
  <c r="Q56" i="17" s="1"/>
  <c r="W56" i="17" s="1"/>
  <c r="Y2" i="17"/>
  <c r="Q2" i="17" s="1"/>
  <c r="W2" i="17" s="1"/>
  <c r="N141" i="17" a="1"/>
  <c r="N141" i="17" s="1"/>
  <c r="N104" i="17" a="1"/>
  <c r="N104" i="17" s="1"/>
  <c r="N67" i="17" a="1"/>
  <c r="N67" i="17" s="1"/>
  <c r="N45" i="17" a="1"/>
  <c r="N45" i="17" s="1"/>
  <c r="N9" i="17" a="1"/>
  <c r="N9" i="17" s="1"/>
  <c r="N154" i="17" a="1"/>
  <c r="N154" i="17" s="1"/>
  <c r="N122" i="17" a="1"/>
  <c r="N122" i="17" s="1"/>
  <c r="N98" i="17" a="1"/>
  <c r="N98" i="17" s="1"/>
  <c r="N55" i="17" a="1"/>
  <c r="N55" i="17" s="1"/>
  <c r="N22" i="17" a="1"/>
  <c r="N22" i="17" s="1"/>
  <c r="N42" i="17" a="1"/>
  <c r="N42" i="17" s="1"/>
  <c r="Q54" i="17" l="1"/>
  <c r="W54" i="17" s="1"/>
  <c r="Q42" i="17"/>
  <c r="W42" i="17" s="1"/>
  <c r="Q52" i="17"/>
  <c r="W52" i="17" s="1"/>
  <c r="Q20" i="17"/>
  <c r="W2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<sst xmlns="http://schemas.openxmlformats.org/spreadsheetml/2006/main" count="2706" uniqueCount="185">
  <si>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</si>
  <si>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</si>
  <si>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</si>
  <si>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</si>
  <si>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</si>
  <si>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</si>
  <si>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</si>
  <si>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</si>
  <si>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</si>
  <si>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</si>
  <si>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</si>
  <si>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</si>
  <si>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</si>
  <si>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</si>
  <si>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</si>
  <si>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</si>
  <si>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</si>
  <si>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</si>
  <si>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</si>
  <si>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</si>
  <si>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</si>
  <si>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</si>
  <si>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</si>
  <si>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</si>
  <si>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</si>
  <si>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</si>
  <si>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</si>
  <si>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</si>
  <si>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</si>
  <si>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</si>
  <si>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</si>
  <si>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</si>
  <si>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</si>
  <si>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</si>
  <si>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</si>
  <si>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</si>
  <si>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</si>
  <si>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</si>
  <si>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</si>
  <si>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</si>
  <si>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</si>
  <si>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</si>
  <si>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</si>
  <si>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</si>
  <si>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</si>
  <si>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</si>
  <si>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</si>
  <si>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</si>
  <si>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</si>
  <si>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</si>
  <si>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</si>
  <si>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</si>
  <si>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</si>
  <si>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</si>
  <si>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</si>
  <si>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</si>
  <si>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</si>
  <si>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</si>
  <si>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</si>
  <si>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</si>
  <si>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</si>
  <si>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</si>
  <si>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</si>
  <si>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</si>
  <si>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</si>
  <si>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</si>
  <si>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</si>
  <si>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</si>
  <si>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</si>
  <si>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Example_Modifications-Ian.p</t>
  </si>
  <si>
    <t>2023-06-19 11:25:12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</si>
  <si>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</si>
  <si>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</si>
  <si>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</si>
  <si>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</si>
  <si>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</si>
  <si>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</si>
  <si>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Check for Proper Identification</t>
  </si>
  <si>
    <t>Wait Cost Per Entity</t>
  </si>
  <si>
    <t>Wait Time Per Entity</t>
  </si>
  <si>
    <t>Check for Proper Identification.Queue</t>
  </si>
  <si>
    <t>Waiting Cost</t>
  </si>
  <si>
    <t>Queue</t>
  </si>
  <si>
    <t>Waiting Time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</si>
  <si>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</si>
  <si>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</si>
  <si>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</si>
  <si>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</si>
  <si>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</si>
  <si>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</si>
  <si>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</si>
  <si>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</si>
  <si>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</si>
  <si>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</si>
  <si>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</si>
  <si>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</si>
  <si>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</si>
  <si>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</si>
  <si>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Extra Bag Check</t>
  </si>
  <si>
    <t>Extra Bag Check.Queue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</si>
  <si>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</si>
  <si>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</si>
  <si>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</si>
  <si>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</si>
  <si>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</si>
  <si>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</si>
  <si>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</si>
  <si>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</si>
  <si>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</si>
  <si>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</si>
  <si>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</si>
  <si>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</si>
  <si>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</si>
  <si>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</si>
  <si>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</si>
  <si>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</si>
  <si>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</si>
  <si>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</si>
  <si>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</si>
  <si>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</si>
  <si>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</si>
  <si>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</si>
  <si>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</si>
  <si>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</si>
  <si>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</si>
  <si>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</si>
  <si>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</si>
  <si>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</si>
  <si>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</si>
  <si>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</si>
  <si>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</si>
  <si>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</si>
  <si>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</si>
  <si>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</si>
  <si>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</si>
  <si>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</si>
  <si>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</si>
  <si>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</si>
  <si>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</si>
  <si>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</si>
  <si>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</si>
  <si>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Accum Wait Cost</t>
  </si>
  <si>
    <t>Check for Proper Identification Accum Wait Time</t>
  </si>
  <si>
    <t>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</si>
  <si>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</si>
  <si>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</si>
  <si>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</si>
  <si>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</si>
  <si>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</si>
  <si>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</si>
  <si>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Extra Bag Check Accum VA Cost</t>
  </si>
  <si>
    <t>Extra Bag Check Accum VA Time</t>
  </si>
  <si>
    <t>Extra Bag Check Accum Wait Cost</t>
  </si>
  <si>
    <t>Extra Bag Check Accum Wait Time</t>
  </si>
  <si>
    <t>Extra Bag Check Number In</t>
  </si>
  <si>
    <t>Extra Bag Check Number Out</t>
  </si>
  <si>
    <t>Extra Bag Check Total Accum Cost</t>
  </si>
  <si>
    <t>Extra Bag Check Total Accum Time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</si>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</sst>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477543055553" createdVersion="7" refreshedVersion="8" minRefreshableVersion="3" recordCount="52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130">
        <s v="Check for Proper Identification.Queue"/>
        <s v="Entity 1"/>
        <s v="Extra Bag Check.Queue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3.5838161698299002E-2" maxValue="68.249957102483094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29"/>
    </cacheField>
    <cacheField name="LastRecordedValue" numFmtId="0">
      <sharedItems containsSemiMixedTypes="0" containsString="0" containsNumber="1" containsInteger="1" minValue="0" maxValue="12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OfAverage" numFmtId="0">
      <sharedItems containsSemiMixedTypes="0" containsString="0" containsNumber="1" minValue="6.1404697451349924E-2" maxValue="56.431991726226869"/>
    </cacheField>
    <cacheField name="StDevOfAverage" numFmtId="0">
      <sharedItems containsSemiMixedTypes="0" containsString="0" containsNumber="1" minValue="0" maxValue="11.26199873457122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7.920353131472993"/>
    </cacheField>
    <cacheField name="MinimumAverage" numFmtId="0">
      <sharedItems containsSemiMixedTypes="0" containsString="0" containsNumber="1" minValue="3.5838161698299002E-2" maxValue="45.953353594928203"/>
    </cacheField>
    <cacheField name="MaximumAverage" numFmtId="0">
      <sharedItems containsSemiMixedTypes="0" containsString="0" containsNumber="1" minValue="0.10546300457447901" maxValue="68.249957102483094"/>
    </cacheField>
    <cacheField name="SummaryHalfWidth" numFmtId="0">
      <sharedItems containsSemiMixedTypes="0" containsString="0" containsNumber="1" minValue="0" maxValue="17.920353131472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47754340277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477543634261" createdVersion="7" refreshedVersion="8" minRefreshableVersion="3" recordCount="16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106">
        <s v="Additional Security Check"/>
        <s v="Check for Proper Identification"/>
        <s v="Check for Proper Identification.Queue"/>
        <s v="Entity 1"/>
        <s v="Extra Bag Check"/>
        <s v="Extra Bag Check.Queue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139.327385604790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6.795830148676899"/>
    </cacheField>
    <cacheField name="Maximum" numFmtId="0">
      <sharedItems containsSemiMixedTypes="0" containsString="0" containsNumber="1" minValue="0" maxValue="263.75396354921901"/>
    </cacheField>
    <cacheField name="NumberObservations" numFmtId="0">
      <sharedItems containsSemiMixedTypes="0" containsString="0" containsNumber="1" containsInteger="1" minValue="2" maxValue="235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OfAverage" numFmtId="0">
      <sharedItems containsSemiMixedTypes="0" containsString="0" containsNumber="1" minValue="0" maxValue="109.32912949002406"/>
    </cacheField>
    <cacheField name="StDevOfAverage" numFmtId="0">
      <sharedItems containsSemiMixedTypes="0" containsString="0" containsNumber="1" minValue="0" maxValue="22.22149171349419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5.359352100751067"/>
    </cacheField>
    <cacheField name="MinimumAverage" numFmtId="0">
      <sharedItems containsSemiMixedTypes="0" containsString="0" containsNumber="1" minValue="0" maxValue="87.617139838625505"/>
    </cacheField>
    <cacheField name="MaximumAverage" numFmtId="0">
      <sharedItems containsSemiMixedTypes="0" containsString="0" containsNumber="1" minValue="0" maxValue="139.32738560479001"/>
    </cacheField>
    <cacheField name="OverallMinimum" numFmtId="0">
      <sharedItems containsSemiMixedTypes="0" containsString="0" containsNumber="1" minValue="0" maxValue="29.2733866500859"/>
    </cacheField>
    <cacheField name="OverallMaximum" numFmtId="0">
      <sharedItems containsSemiMixedTypes="0" containsString="0" containsNumber="1" minValue="0" maxValue="263.75396354921901"/>
    </cacheField>
    <cacheField name="AverageNumberObservations" numFmtId="0">
      <sharedItems containsSemiMixedTypes="0" containsString="0" containsNumber="1" minValue="3" maxValue="225"/>
    </cacheField>
    <cacheField name="SummaryHalfWidth" numFmtId="0">
      <sharedItems containsSemiMixedTypes="0" containsString="0" containsNumber="1" minValue="0" maxValue="35.359352100751067"/>
    </cacheField>
    <cacheField name="RepsWithStatObserved" numFmtId="0">
      <sharedItems containsSemiMixedTypes="0" containsString="0" containsNumber="1" containsInteger="1" minValue="4" maxValue="4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477543865738" createdVersion="7" refreshedVersion="8" minRefreshableVersion="3" recordCount="236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135">
        <s v="Additional Security Check Accum VA Cost"/>
        <s v="Additional Security Check Accum VA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Extra Bag Check Accum VA Cost"/>
        <s v="Extra Bag Check Accum VA Time"/>
        <s v="Extra Bag Check Accum Wait Cost"/>
        <s v="Extra Bag Check Accum Wait Time"/>
        <s v="Extra Bag Check Number In"/>
        <s v="Extra Bag Check Number Out"/>
        <s v="Extra Bag Check Total Accum Cost"/>
        <s v="Extra Bag Check Total Accum Time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Accum Wait Cost"/>
        <s v="Accum Wait Time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15004.568040826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" numFmtId="0">
      <sharedItems containsSemiMixedTypes="0" containsString="0" containsNumber="1" minValue="0" maxValue="13077.22554816195"/>
    </cacheField>
    <cacheField name="StandardDeviation" numFmtId="0">
      <sharedItems containsSemiMixedTypes="0" containsString="0" containsNumber="1" minValue="0" maxValue="2562.176671346645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076.9948406056201"/>
    </cacheField>
    <cacheField name="Minimum" numFmtId="0">
      <sharedItems containsSemiMixedTypes="0" containsString="0" containsNumber="1" minValue="0" maxValue="10905.4119481499"/>
    </cacheField>
    <cacheField name="Maximum" numFmtId="0">
      <sharedItems containsSemiMixedTypes="0" containsString="0" containsNumber="1" minValue="0" maxValue="15004.56804082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47754409722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s v="2023-06-19 11:25:12"/>
    <n v="1"/>
    <x v="0"/>
    <x v="0"/>
    <x v="0"/>
    <n v="34.5168149106903"/>
    <n v="3E+20"/>
    <n v="0"/>
    <n v="66"/>
    <n v="65"/>
    <n v="0"/>
    <s v="Airport Security AnalysisCheck for Proper Identification.QueueNumber WaitingQueue"/>
    <n v="4"/>
    <n v="30.091507461772249"/>
    <n v="5.6835982633491593"/>
    <n v="0.95"/>
    <n v="9.0438731469562157"/>
    <n v="24.729699312091199"/>
    <n v="35.4658264126085"/>
    <n v="9.0438731469562157"/>
  </r>
  <r>
    <x v="0"/>
    <s v="2023-06-19 11:25:12"/>
    <n v="1"/>
    <x v="1"/>
    <x v="1"/>
    <x v="1"/>
    <n v="63.828764275838203"/>
    <n v="2E+20"/>
    <n v="0"/>
    <n v="129"/>
    <n v="124"/>
    <n v="0"/>
    <s v="Airport Security AnalysisEntity 1WIPEntity"/>
    <n v="4"/>
    <n v="56.431991726226869"/>
    <n v="11.261998734571224"/>
    <n v="0.95"/>
    <n v="17.920353131472993"/>
    <n v="45.953353594928203"/>
    <n v="68.249957102483094"/>
    <n v="17.920353131472993"/>
  </r>
  <r>
    <x v="0"/>
    <s v="2023-06-19 11:25:12"/>
    <n v="1"/>
    <x v="2"/>
    <x v="0"/>
    <x v="0"/>
    <n v="0.45842402470632099"/>
    <n v="2E+20"/>
    <n v="0"/>
    <n v="2"/>
    <n v="1"/>
    <n v="0"/>
    <s v="Airport Security AnalysisExtra Bag Check.QueueNumber WaitingQueue"/>
    <n v="4"/>
    <n v="0.40679152876095698"/>
    <n v="0.22421874294044883"/>
    <n v="0.95"/>
    <n v="0.3567820550230944"/>
    <n v="0.17961938190690499"/>
    <n v="0.69598373454204898"/>
    <n v="0.3567820550230944"/>
  </r>
  <r>
    <x v="0"/>
    <s v="2023-06-19 11:25:12"/>
    <n v="1"/>
    <x v="3"/>
    <x v="2"/>
    <x v="2"/>
    <n v="4.0254494526984999E-2"/>
    <n v="2E+20"/>
    <n v="0"/>
    <n v="1"/>
    <n v="0"/>
    <n v="0"/>
    <s v="Airport Security AnalysisSecondary Screening KitInstantaneous Utilization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1"/>
    <x v="3"/>
    <x v="3"/>
    <x v="2"/>
    <n v="4.0254494526984999E-2"/>
    <n v="2E+20"/>
    <n v="0"/>
    <n v="1"/>
    <n v="0"/>
    <n v="0"/>
    <s v="Airport Security AnalysisSecondary Screening KitNumber Busy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1"/>
    <x v="3"/>
    <x v="4"/>
    <x v="2"/>
    <n v="1"/>
    <n v="2E+20"/>
    <n v="1"/>
    <n v="1"/>
    <n v="1"/>
    <n v="0"/>
    <s v="Airport Security AnalysisSecondary Screening KitNumber ScheduledResource"/>
    <n v="4"/>
    <n v="1"/>
    <n v="0"/>
    <n v="0.95"/>
    <n v="0"/>
    <n v="1"/>
    <n v="1"/>
    <n v="0"/>
  </r>
  <r>
    <x v="0"/>
    <s v="2023-06-19 11:25:12"/>
    <n v="1"/>
    <x v="4"/>
    <x v="2"/>
    <x v="2"/>
    <n v="0.97220119718299103"/>
    <n v="2E+20"/>
    <n v="0"/>
    <n v="1"/>
    <n v="1"/>
    <n v="0"/>
    <s v="Airport Security AnalysisTransportation Security OfficerInstantaneous UtilizationResource"/>
    <n v="4"/>
    <n v="0.98041643491842145"/>
    <n v="1.9612582685488503E-2"/>
    <n v="0.95"/>
    <n v="3.1207995652252053E-2"/>
    <n v="0.95674062773478297"/>
    <n v="0.99931211406225795"/>
    <n v="3.1207995652252053E-2"/>
  </r>
  <r>
    <x v="0"/>
    <s v="2023-06-19 11:25:12"/>
    <n v="1"/>
    <x v="4"/>
    <x v="3"/>
    <x v="2"/>
    <n v="1.9444023943659801"/>
    <n v="2E+20"/>
    <n v="0"/>
    <n v="2"/>
    <n v="2"/>
    <n v="0"/>
    <s v="Airport Security AnalysisTransportation Security OfficerNumber BusyResource"/>
    <n v="4"/>
    <n v="1.9608328698368449"/>
    <n v="3.9225165370977401E-2"/>
    <n v="0.95"/>
    <n v="6.2415991304504731E-2"/>
    <n v="1.9134812554695699"/>
    <n v="1.9986242281245199"/>
    <n v="6.2415991304504731E-2"/>
  </r>
  <r>
    <x v="0"/>
    <s v="2023-06-19 11:25:12"/>
    <n v="1"/>
    <x v="4"/>
    <x v="4"/>
    <x v="2"/>
    <n v="2"/>
    <n v="2E+20"/>
    <n v="2"/>
    <n v="2"/>
    <n v="2"/>
    <n v="0"/>
    <s v="Airport Security AnalysisTransportation Security OfficerNumber ScheduledResource"/>
    <n v="4"/>
    <n v="2"/>
    <n v="0"/>
    <n v="0.95"/>
    <n v="0"/>
    <n v="2"/>
    <n v="2"/>
    <n v="0"/>
  </r>
  <r>
    <x v="0"/>
    <s v="2023-06-19 11:25:12"/>
    <n v="1"/>
    <x v="5"/>
    <x v="0"/>
    <x v="0"/>
    <n v="26.747661230435199"/>
    <n v="2E+20"/>
    <n v="0"/>
    <n v="63"/>
    <n v="56"/>
    <n v="0"/>
    <s v="Airport Security AnalysisXray Baggage Check.QueueNumber WaitingQueue"/>
    <n v="4"/>
    <n v="23.80804005307575"/>
    <n v="5.3938925447123944"/>
    <n v="0.95"/>
    <n v="8.5828867000086486"/>
    <n v="18.947311808547099"/>
    <n v="29.9246023355091"/>
    <n v="8.5828867000086486"/>
  </r>
  <r>
    <x v="0"/>
    <s v="2023-06-19 11:25:12"/>
    <n v="1"/>
    <x v="6"/>
    <x v="2"/>
    <x v="2"/>
    <n v="0.58493978773938404"/>
    <n v="2E+20"/>
    <n v="0"/>
    <n v="1"/>
    <n v="1"/>
    <n v="0"/>
    <s v="Airport Security AnalysisXray MachineInstantaneous UtilizationResource"/>
    <n v="4"/>
    <n v="0.59254402897918601"/>
    <n v="2.0319404327018134E-2"/>
    <n v="0.95"/>
    <n v="3.2332706613042321E-2"/>
    <n v="0.56725217405431305"/>
    <n v="0.60915880258870903"/>
    <n v="3.2332706613042321E-2"/>
  </r>
  <r>
    <x v="0"/>
    <s v="2023-06-19 11:25:12"/>
    <n v="1"/>
    <x v="6"/>
    <x v="3"/>
    <x v="2"/>
    <n v="1.1698795754787701"/>
    <n v="2E+20"/>
    <n v="0"/>
    <n v="2"/>
    <n v="2"/>
    <n v="0"/>
    <s v="Airport Security AnalysisXray MachineNumber BusyResource"/>
    <n v="4"/>
    <n v="1.1850880579583749"/>
    <n v="4.063880865403597E-2"/>
    <n v="0.95"/>
    <n v="6.466541322608417E-2"/>
    <n v="1.1345043481086301"/>
    <n v="1.21831760517742"/>
    <n v="6.466541322608417E-2"/>
  </r>
  <r>
    <x v="0"/>
    <s v="2023-06-19 11:25:12"/>
    <n v="1"/>
    <x v="6"/>
    <x v="4"/>
    <x v="2"/>
    <n v="2"/>
    <n v="2E+20"/>
    <n v="2"/>
    <n v="2"/>
    <n v="2"/>
    <n v="0"/>
    <s v="Airport Security AnalysisXray MachineNumber ScheduledResource"/>
    <n v="4"/>
    <n v="2"/>
    <n v="0"/>
    <n v="0.95"/>
    <n v="0"/>
    <n v="2"/>
    <n v="2"/>
    <n v="0"/>
  </r>
  <r>
    <x v="0"/>
    <s v="2023-06-19 11:25:12"/>
    <n v="2"/>
    <x v="0"/>
    <x v="0"/>
    <x v="0"/>
    <n v="35.4658264126085"/>
    <n v="3E+20"/>
    <n v="0"/>
    <n v="75"/>
    <n v="75"/>
    <n v="0"/>
    <s v="Airport Security AnalysisCheck for Proper Identification.QueueNumber WaitingQueue"/>
    <n v="4"/>
    <n v="30.091507461772249"/>
    <n v="5.6835982633491593"/>
    <n v="0.95"/>
    <n v="9.0438731469562157"/>
    <n v="24.729699312091199"/>
    <n v="35.4658264126085"/>
    <n v="9.0438731469562157"/>
  </r>
  <r>
    <x v="0"/>
    <s v="2023-06-19 11:25:12"/>
    <n v="2"/>
    <x v="1"/>
    <x v="1"/>
    <x v="1"/>
    <n v="68.249957102483094"/>
    <n v="2E+20"/>
    <n v="0"/>
    <n v="113"/>
    <n v="110"/>
    <n v="0"/>
    <s v="Airport Security AnalysisEntity 1WIPEntity"/>
    <n v="4"/>
    <n v="56.431991726226869"/>
    <n v="11.261998734571224"/>
    <n v="0.95"/>
    <n v="17.920353131472993"/>
    <n v="45.953353594928203"/>
    <n v="68.249957102483094"/>
    <n v="17.920353131472993"/>
  </r>
  <r>
    <x v="0"/>
    <s v="2023-06-19 11:25:12"/>
    <n v="2"/>
    <x v="2"/>
    <x v="0"/>
    <x v="0"/>
    <n v="0.69598373454204898"/>
    <n v="2E+20"/>
    <n v="0"/>
    <n v="2"/>
    <n v="1"/>
    <n v="0"/>
    <s v="Airport Security AnalysisExtra Bag Check.QueueNumber WaitingQueue"/>
    <n v="4"/>
    <n v="0.40679152876095698"/>
    <n v="0.22421874294044883"/>
    <n v="0.95"/>
    <n v="0.3567820550230944"/>
    <n v="0.17961938190690499"/>
    <n v="0.69598373454204898"/>
    <n v="0.3567820550230944"/>
  </r>
  <r>
    <x v="0"/>
    <s v="2023-06-19 11:25:12"/>
    <n v="2"/>
    <x v="3"/>
    <x v="2"/>
    <x v="2"/>
    <n v="6.4063129005636696E-2"/>
    <n v="2E+20"/>
    <n v="0"/>
    <n v="1"/>
    <n v="0"/>
    <n v="0"/>
    <s v="Airport Security AnalysisSecondary Screening KitInstantaneous Utilization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2"/>
    <x v="3"/>
    <x v="3"/>
    <x v="2"/>
    <n v="6.4063129005636696E-2"/>
    <n v="2E+20"/>
    <n v="0"/>
    <n v="1"/>
    <n v="0"/>
    <n v="0"/>
    <s v="Airport Security AnalysisSecondary Screening KitNumber Busy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2"/>
    <x v="3"/>
    <x v="4"/>
    <x v="2"/>
    <n v="1"/>
    <n v="2E+20"/>
    <n v="1"/>
    <n v="1"/>
    <n v="1"/>
    <n v="0"/>
    <s v="Airport Security AnalysisSecondary Screening KitNumber ScheduledResource"/>
    <n v="4"/>
    <n v="1"/>
    <n v="0"/>
    <n v="0.95"/>
    <n v="0"/>
    <n v="1"/>
    <n v="1"/>
    <n v="0"/>
  </r>
  <r>
    <x v="0"/>
    <s v="2023-06-19 11:25:12"/>
    <n v="2"/>
    <x v="4"/>
    <x v="2"/>
    <x v="2"/>
    <n v="0.99341180069365398"/>
    <n v="2E+20"/>
    <n v="0"/>
    <n v="1"/>
    <n v="1"/>
    <n v="0"/>
    <s v="Airport Security AnalysisTransportation Security OfficerInstantaneous UtilizationResource"/>
    <n v="4"/>
    <n v="0.98041643491842145"/>
    <n v="1.9612582685488503E-2"/>
    <n v="0.95"/>
    <n v="3.1207995652252053E-2"/>
    <n v="0.95674062773478297"/>
    <n v="0.99931211406225795"/>
    <n v="3.1207995652252053E-2"/>
  </r>
  <r>
    <x v="0"/>
    <s v="2023-06-19 11:25:12"/>
    <n v="2"/>
    <x v="4"/>
    <x v="3"/>
    <x v="2"/>
    <n v="1.98682360138731"/>
    <n v="2E+20"/>
    <n v="0"/>
    <n v="2"/>
    <n v="2"/>
    <n v="0"/>
    <s v="Airport Security AnalysisTransportation Security OfficerNumber BusyResource"/>
    <n v="4"/>
    <n v="1.9608328698368449"/>
    <n v="3.9225165370977401E-2"/>
    <n v="0.95"/>
    <n v="6.2415991304504731E-2"/>
    <n v="1.9134812554695699"/>
    <n v="1.9986242281245199"/>
    <n v="6.2415991304504731E-2"/>
  </r>
  <r>
    <x v="0"/>
    <s v="2023-06-19 11:25:12"/>
    <n v="2"/>
    <x v="4"/>
    <x v="4"/>
    <x v="2"/>
    <n v="2"/>
    <n v="2E+20"/>
    <n v="2"/>
    <n v="2"/>
    <n v="2"/>
    <n v="0"/>
    <s v="Airport Security AnalysisTransportation Security OfficerNumber ScheduledResource"/>
    <n v="4"/>
    <n v="2"/>
    <n v="0"/>
    <n v="0.95"/>
    <n v="0"/>
    <n v="2"/>
    <n v="2"/>
    <n v="0"/>
  </r>
  <r>
    <x v="0"/>
    <s v="2023-06-19 11:25:12"/>
    <n v="2"/>
    <x v="5"/>
    <x v="0"/>
    <x v="0"/>
    <n v="29.9246023355091"/>
    <n v="2E+20"/>
    <n v="0"/>
    <n v="64"/>
    <n v="31"/>
    <n v="0"/>
    <s v="Airport Security AnalysisXray Baggage Check.QueueNumber WaitingQueue"/>
    <n v="4"/>
    <n v="23.80804005307575"/>
    <n v="5.3938925447123944"/>
    <n v="0.95"/>
    <n v="8.5828867000086486"/>
    <n v="18.947311808547099"/>
    <n v="29.9246023355091"/>
    <n v="8.5828867000086486"/>
  </r>
  <r>
    <x v="0"/>
    <s v="2023-06-19 11:25:12"/>
    <n v="2"/>
    <x v="6"/>
    <x v="2"/>
    <x v="2"/>
    <n v="0.60882535153433803"/>
    <n v="2E+20"/>
    <n v="0"/>
    <n v="1"/>
    <n v="1"/>
    <n v="0"/>
    <s v="Airport Security AnalysisXray MachineInstantaneous UtilizationResource"/>
    <n v="4"/>
    <n v="0.59254402897918601"/>
    <n v="2.0319404327018134E-2"/>
    <n v="0.95"/>
    <n v="3.2332706613042321E-2"/>
    <n v="0.56725217405431305"/>
    <n v="0.60915880258870903"/>
    <n v="3.2332706613042321E-2"/>
  </r>
  <r>
    <x v="0"/>
    <s v="2023-06-19 11:25:12"/>
    <n v="2"/>
    <x v="6"/>
    <x v="3"/>
    <x v="2"/>
    <n v="1.2176507030686801"/>
    <n v="2E+20"/>
    <n v="0"/>
    <n v="2"/>
    <n v="2"/>
    <n v="0"/>
    <s v="Airport Security AnalysisXray MachineNumber BusyResource"/>
    <n v="4"/>
    <n v="1.1850880579583749"/>
    <n v="4.063880865403597E-2"/>
    <n v="0.95"/>
    <n v="6.466541322608417E-2"/>
    <n v="1.1345043481086301"/>
    <n v="1.21831760517742"/>
    <n v="6.466541322608417E-2"/>
  </r>
  <r>
    <x v="0"/>
    <s v="2023-06-19 11:25:12"/>
    <n v="2"/>
    <x v="6"/>
    <x v="4"/>
    <x v="2"/>
    <n v="2"/>
    <n v="2E+20"/>
    <n v="2"/>
    <n v="2"/>
    <n v="2"/>
    <n v="0"/>
    <s v="Airport Security AnalysisXray MachineNumber ScheduledResource"/>
    <n v="4"/>
    <n v="2"/>
    <n v="0"/>
    <n v="0.95"/>
    <n v="0"/>
    <n v="2"/>
    <n v="2"/>
    <n v="0"/>
  </r>
  <r>
    <x v="0"/>
    <s v="2023-06-19 11:25:12"/>
    <n v="3"/>
    <x v="0"/>
    <x v="0"/>
    <x v="0"/>
    <n v="25.653689211699"/>
    <n v="3E+20"/>
    <n v="0"/>
    <n v="63"/>
    <n v="60"/>
    <n v="0"/>
    <s v="Airport Security AnalysisCheck for Proper Identification.QueueNumber WaitingQueue"/>
    <n v="4"/>
    <n v="30.091507461772249"/>
    <n v="5.6835982633491593"/>
    <n v="0.95"/>
    <n v="9.0438731469562157"/>
    <n v="24.729699312091199"/>
    <n v="35.4658264126085"/>
    <n v="9.0438731469562157"/>
  </r>
  <r>
    <x v="0"/>
    <s v="2023-06-19 11:25:12"/>
    <n v="3"/>
    <x v="1"/>
    <x v="1"/>
    <x v="1"/>
    <n v="47.695891931657997"/>
    <n v="2E+20"/>
    <n v="0"/>
    <n v="96"/>
    <n v="91"/>
    <n v="0"/>
    <s v="Airport Security AnalysisEntity 1WIPEntity"/>
    <n v="4"/>
    <n v="56.431991726226869"/>
    <n v="11.261998734571224"/>
    <n v="0.95"/>
    <n v="17.920353131472993"/>
    <n v="45.953353594928203"/>
    <n v="68.249957102483094"/>
    <n v="17.920353131472993"/>
  </r>
  <r>
    <x v="0"/>
    <s v="2023-06-19 11:25:12"/>
    <n v="3"/>
    <x v="2"/>
    <x v="0"/>
    <x v="0"/>
    <n v="0.29313897388855298"/>
    <n v="2E+20"/>
    <n v="0"/>
    <n v="1"/>
    <n v="1"/>
    <n v="0"/>
    <s v="Airport Security AnalysisExtra Bag Check.QueueNumber WaitingQueue"/>
    <n v="4"/>
    <n v="0.40679152876095698"/>
    <n v="0.22421874294044883"/>
    <n v="0.95"/>
    <n v="0.3567820550230944"/>
    <n v="0.17961938190690499"/>
    <n v="0.69598373454204898"/>
    <n v="0.3567820550230944"/>
  </r>
  <r>
    <x v="0"/>
    <s v="2023-06-19 11:25:12"/>
    <n v="3"/>
    <x v="3"/>
    <x v="2"/>
    <x v="2"/>
    <n v="0.10546300457447901"/>
    <n v="2E+20"/>
    <n v="0"/>
    <n v="1"/>
    <n v="0"/>
    <n v="0"/>
    <s v="Airport Security AnalysisSecondary Screening KitInstantaneous Utilization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3"/>
    <x v="3"/>
    <x v="3"/>
    <x v="2"/>
    <n v="0.10546300457447901"/>
    <n v="2E+20"/>
    <n v="0"/>
    <n v="1"/>
    <n v="0"/>
    <n v="0"/>
    <s v="Airport Security AnalysisSecondary Screening KitNumber Busy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3"/>
    <x v="3"/>
    <x v="4"/>
    <x v="2"/>
    <n v="1"/>
    <n v="2E+20"/>
    <n v="1"/>
    <n v="1"/>
    <n v="1"/>
    <n v="0"/>
    <s v="Airport Security AnalysisSecondary Screening KitNumber ScheduledResource"/>
    <n v="4"/>
    <n v="1"/>
    <n v="0"/>
    <n v="0.95"/>
    <n v="0"/>
    <n v="1"/>
    <n v="1"/>
    <n v="0"/>
  </r>
  <r>
    <x v="0"/>
    <s v="2023-06-19 11:25:12"/>
    <n v="3"/>
    <x v="4"/>
    <x v="2"/>
    <x v="2"/>
    <n v="0.99931211406225795"/>
    <n v="2E+20"/>
    <n v="0"/>
    <n v="1"/>
    <n v="1"/>
    <n v="0"/>
    <s v="Airport Security AnalysisTransportation Security OfficerInstantaneous UtilizationResource"/>
    <n v="4"/>
    <n v="0.98041643491842145"/>
    <n v="1.9612582685488503E-2"/>
    <n v="0.95"/>
    <n v="3.1207995652252053E-2"/>
    <n v="0.95674062773478297"/>
    <n v="0.99931211406225795"/>
    <n v="3.1207995652252053E-2"/>
  </r>
  <r>
    <x v="0"/>
    <s v="2023-06-19 11:25:12"/>
    <n v="3"/>
    <x v="4"/>
    <x v="3"/>
    <x v="2"/>
    <n v="1.9986242281245199"/>
    <n v="2E+20"/>
    <n v="0"/>
    <n v="2"/>
    <n v="2"/>
    <n v="0"/>
    <s v="Airport Security AnalysisTransportation Security OfficerNumber BusyResource"/>
    <n v="4"/>
    <n v="1.9608328698368449"/>
    <n v="3.9225165370977401E-2"/>
    <n v="0.95"/>
    <n v="6.2415991304504731E-2"/>
    <n v="1.9134812554695699"/>
    <n v="1.9986242281245199"/>
    <n v="6.2415991304504731E-2"/>
  </r>
  <r>
    <x v="0"/>
    <s v="2023-06-19 11:25:12"/>
    <n v="3"/>
    <x v="4"/>
    <x v="4"/>
    <x v="2"/>
    <n v="2"/>
    <n v="2E+20"/>
    <n v="2"/>
    <n v="2"/>
    <n v="2"/>
    <n v="0"/>
    <s v="Airport Security AnalysisTransportation Security OfficerNumber ScheduledResource"/>
    <n v="4"/>
    <n v="2"/>
    <n v="0"/>
    <n v="0.95"/>
    <n v="0"/>
    <n v="2"/>
    <n v="2"/>
    <n v="0"/>
  </r>
  <r>
    <x v="0"/>
    <s v="2023-06-19 11:25:12"/>
    <n v="3"/>
    <x v="5"/>
    <x v="0"/>
    <x v="0"/>
    <n v="19.6125848378116"/>
    <n v="2E+20"/>
    <n v="0"/>
    <n v="41"/>
    <n v="27"/>
    <n v="0"/>
    <s v="Airport Security AnalysisXray Baggage Check.QueueNumber WaitingQueue"/>
    <n v="4"/>
    <n v="23.80804005307575"/>
    <n v="5.3938925447123944"/>
    <n v="0.95"/>
    <n v="8.5828867000086486"/>
    <n v="18.947311808547099"/>
    <n v="29.9246023355091"/>
    <n v="8.5828867000086486"/>
  </r>
  <r>
    <x v="0"/>
    <s v="2023-06-19 11:25:12"/>
    <n v="3"/>
    <x v="6"/>
    <x v="2"/>
    <x v="2"/>
    <n v="0.60915880258870903"/>
    <n v="2E+20"/>
    <n v="0"/>
    <n v="1"/>
    <n v="0"/>
    <n v="0"/>
    <s v="Airport Security AnalysisXray MachineInstantaneous UtilizationResource"/>
    <n v="4"/>
    <n v="0.59254402897918601"/>
    <n v="2.0319404327018134E-2"/>
    <n v="0.95"/>
    <n v="3.2332706613042321E-2"/>
    <n v="0.56725217405431305"/>
    <n v="0.60915880258870903"/>
    <n v="3.2332706613042321E-2"/>
  </r>
  <r>
    <x v="0"/>
    <s v="2023-06-19 11:25:12"/>
    <n v="3"/>
    <x v="6"/>
    <x v="3"/>
    <x v="2"/>
    <n v="1.21831760517742"/>
    <n v="2E+20"/>
    <n v="0"/>
    <n v="2"/>
    <n v="0"/>
    <n v="0"/>
    <s v="Airport Security AnalysisXray MachineNumber BusyResource"/>
    <n v="4"/>
    <n v="1.1850880579583749"/>
    <n v="4.063880865403597E-2"/>
    <n v="0.95"/>
    <n v="6.466541322608417E-2"/>
    <n v="1.1345043481086301"/>
    <n v="1.21831760517742"/>
    <n v="6.466541322608417E-2"/>
  </r>
  <r>
    <x v="0"/>
    <s v="2023-06-19 11:25:12"/>
    <n v="3"/>
    <x v="6"/>
    <x v="4"/>
    <x v="2"/>
    <n v="2"/>
    <n v="2E+20"/>
    <n v="2"/>
    <n v="2"/>
    <n v="2"/>
    <n v="0"/>
    <s v="Airport Security AnalysisXray MachineNumber ScheduledResource"/>
    <n v="4"/>
    <n v="2"/>
    <n v="0"/>
    <n v="0.95"/>
    <n v="0"/>
    <n v="2"/>
    <n v="2"/>
    <n v="0"/>
  </r>
  <r>
    <x v="0"/>
    <s v="2023-06-19 11:25:12"/>
    <n v="4"/>
    <x v="0"/>
    <x v="0"/>
    <x v="0"/>
    <n v="24.729699312091199"/>
    <n v="3E+20"/>
    <n v="0"/>
    <n v="61"/>
    <n v="48"/>
    <n v="0"/>
    <s v="Airport Security AnalysisCheck for Proper Identification.QueueNumber WaitingQueue"/>
    <n v="4"/>
    <n v="30.091507461772249"/>
    <n v="5.6835982633491593"/>
    <n v="0.95"/>
    <n v="9.0438731469562157"/>
    <n v="24.729699312091199"/>
    <n v="35.4658264126085"/>
    <n v="9.0438731469562157"/>
  </r>
  <r>
    <x v="0"/>
    <s v="2023-06-19 11:25:12"/>
    <n v="4"/>
    <x v="1"/>
    <x v="1"/>
    <x v="1"/>
    <n v="45.953353594928203"/>
    <n v="2E+20"/>
    <n v="0"/>
    <n v="106"/>
    <n v="106"/>
    <n v="0"/>
    <s v="Airport Security AnalysisEntity 1WIPEntity"/>
    <n v="4"/>
    <n v="56.431991726226869"/>
    <n v="11.261998734571224"/>
    <n v="0.95"/>
    <n v="17.920353131472993"/>
    <n v="45.953353594928203"/>
    <n v="68.249957102483094"/>
    <n v="17.920353131472993"/>
  </r>
  <r>
    <x v="0"/>
    <s v="2023-06-19 11:25:12"/>
    <n v="4"/>
    <x v="2"/>
    <x v="0"/>
    <x v="0"/>
    <n v="0.17961938190690499"/>
    <n v="2E+20"/>
    <n v="0"/>
    <n v="1"/>
    <n v="0"/>
    <n v="0"/>
    <s v="Airport Security AnalysisExtra Bag Check.QueueNumber WaitingQueue"/>
    <n v="4"/>
    <n v="0.40679152876095698"/>
    <n v="0.22421874294044883"/>
    <n v="0.95"/>
    <n v="0.3567820550230944"/>
    <n v="0.17961938190690499"/>
    <n v="0.69598373454204898"/>
    <n v="0.3567820550230944"/>
  </r>
  <r>
    <x v="0"/>
    <s v="2023-06-19 11:25:12"/>
    <n v="4"/>
    <x v="3"/>
    <x v="2"/>
    <x v="2"/>
    <n v="3.5838161698299002E-2"/>
    <n v="2E+20"/>
    <n v="0"/>
    <n v="1"/>
    <n v="0"/>
    <n v="0"/>
    <s v="Airport Security AnalysisSecondary Screening KitInstantaneous Utilization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4"/>
    <x v="3"/>
    <x v="3"/>
    <x v="2"/>
    <n v="3.5838161698299002E-2"/>
    <n v="2E+20"/>
    <n v="0"/>
    <n v="1"/>
    <n v="0"/>
    <n v="0"/>
    <s v="Airport Security AnalysisSecondary Screening KitNumber BusyResource"/>
    <n v="4"/>
    <n v="6.1404697451349924E-2"/>
    <n v="3.1880926999480634E-2"/>
    <n v="0.95"/>
    <n v="5.0729669169258376E-2"/>
    <n v="3.5838161698299002E-2"/>
    <n v="0.10546300457447901"/>
    <n v="5.0729669169258376E-2"/>
  </r>
  <r>
    <x v="0"/>
    <s v="2023-06-19 11:25:12"/>
    <n v="4"/>
    <x v="3"/>
    <x v="4"/>
    <x v="2"/>
    <n v="1"/>
    <n v="2E+20"/>
    <n v="1"/>
    <n v="1"/>
    <n v="1"/>
    <n v="0"/>
    <s v="Airport Security AnalysisSecondary Screening KitNumber ScheduledResource"/>
    <n v="4"/>
    <n v="1"/>
    <n v="0"/>
    <n v="0.95"/>
    <n v="0"/>
    <n v="1"/>
    <n v="1"/>
    <n v="0"/>
  </r>
  <r>
    <x v="0"/>
    <s v="2023-06-19 11:25:12"/>
    <n v="4"/>
    <x v="4"/>
    <x v="2"/>
    <x v="2"/>
    <n v="0.95674062773478297"/>
    <n v="2E+20"/>
    <n v="0"/>
    <n v="1"/>
    <n v="1"/>
    <n v="0"/>
    <s v="Airport Security AnalysisTransportation Security OfficerInstantaneous UtilizationResource"/>
    <n v="4"/>
    <n v="0.98041643491842145"/>
    <n v="1.9612582685488503E-2"/>
    <n v="0.95"/>
    <n v="3.1207995652252053E-2"/>
    <n v="0.95674062773478297"/>
    <n v="0.99931211406225795"/>
    <n v="3.1207995652252053E-2"/>
  </r>
  <r>
    <x v="0"/>
    <s v="2023-06-19 11:25:12"/>
    <n v="4"/>
    <x v="4"/>
    <x v="3"/>
    <x v="2"/>
    <n v="1.9134812554695699"/>
    <n v="2E+20"/>
    <n v="0"/>
    <n v="2"/>
    <n v="2"/>
    <n v="0"/>
    <s v="Airport Security AnalysisTransportation Security OfficerNumber BusyResource"/>
    <n v="4"/>
    <n v="1.9608328698368449"/>
    <n v="3.9225165370977401E-2"/>
    <n v="0.95"/>
    <n v="6.2415991304504731E-2"/>
    <n v="1.9134812554695699"/>
    <n v="1.9986242281245199"/>
    <n v="6.2415991304504731E-2"/>
  </r>
  <r>
    <x v="0"/>
    <s v="2023-06-19 11:25:12"/>
    <n v="4"/>
    <x v="4"/>
    <x v="4"/>
    <x v="2"/>
    <n v="2"/>
    <n v="2E+20"/>
    <n v="2"/>
    <n v="2"/>
    <n v="2"/>
    <n v="0"/>
    <s v="Airport Security AnalysisTransportation Security OfficerNumber ScheduledResource"/>
    <n v="4"/>
    <n v="2"/>
    <n v="0"/>
    <n v="0.95"/>
    <n v="0"/>
    <n v="2"/>
    <n v="2"/>
    <n v="0"/>
  </r>
  <r>
    <x v="0"/>
    <s v="2023-06-19 11:25:12"/>
    <n v="4"/>
    <x v="5"/>
    <x v="0"/>
    <x v="0"/>
    <n v="18.947311808547099"/>
    <n v="2E+20"/>
    <n v="0"/>
    <n v="56"/>
    <n v="56"/>
    <n v="0"/>
    <s v="Airport Security AnalysisXray Baggage Check.QueueNumber WaitingQueue"/>
    <n v="4"/>
    <n v="23.80804005307575"/>
    <n v="5.3938925447123944"/>
    <n v="0.95"/>
    <n v="8.5828867000086486"/>
    <n v="18.947311808547099"/>
    <n v="29.9246023355091"/>
    <n v="8.5828867000086486"/>
  </r>
  <r>
    <x v="0"/>
    <s v="2023-06-19 11:25:12"/>
    <n v="4"/>
    <x v="6"/>
    <x v="2"/>
    <x v="2"/>
    <n v="0.56725217405431305"/>
    <n v="2E+20"/>
    <n v="0"/>
    <n v="1"/>
    <n v="0"/>
    <n v="0"/>
    <s v="Airport Security AnalysisXray MachineInstantaneous UtilizationResource"/>
    <n v="4"/>
    <n v="0.59254402897918601"/>
    <n v="2.0319404327018134E-2"/>
    <n v="0.95"/>
    <n v="3.2332706613042321E-2"/>
    <n v="0.56725217405431305"/>
    <n v="0.60915880258870903"/>
    <n v="3.2332706613042321E-2"/>
  </r>
  <r>
    <x v="0"/>
    <s v="2023-06-19 11:25:12"/>
    <n v="4"/>
    <x v="6"/>
    <x v="3"/>
    <x v="2"/>
    <n v="1.1345043481086301"/>
    <n v="2E+20"/>
    <n v="0"/>
    <n v="2"/>
    <n v="0"/>
    <n v="0"/>
    <s v="Airport Security AnalysisXray MachineNumber BusyResource"/>
    <n v="4"/>
    <n v="1.1850880579583749"/>
    <n v="4.063880865403597E-2"/>
    <n v="0.95"/>
    <n v="6.466541322608417E-2"/>
    <n v="1.1345043481086301"/>
    <n v="1.21831760517742"/>
    <n v="6.466541322608417E-2"/>
  </r>
  <r>
    <x v="0"/>
    <s v="2023-06-19 11:25:12"/>
    <n v="4"/>
    <x v="6"/>
    <x v="4"/>
    <x v="2"/>
    <n v="2"/>
    <n v="2E+20"/>
    <n v="2"/>
    <n v="2"/>
    <n v="2"/>
    <n v="0"/>
    <s v="Airport Security AnalysisXray MachineNumber ScheduledResource"/>
    <n v="4"/>
    <n v="2"/>
    <n v="0"/>
    <n v="0.95"/>
    <n v="0"/>
    <n v="2"/>
    <n v="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s v="2023-06-19 11:25:12"/>
    <n v="1"/>
    <x v="0"/>
    <x v="0"/>
    <x v="0"/>
    <n v="0"/>
    <n v="2E+20"/>
    <n v="0"/>
    <n v="0"/>
    <n v="14"/>
    <s v="Airport Security AnalysisAdditional Security CheckTotal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1"/>
    <x v="0"/>
    <x v="1"/>
    <x v="0"/>
    <n v="6.2278090318414998"/>
    <n v="2E+20"/>
    <n v="3.3172868440642"/>
    <n v="9.5489811649774303"/>
    <n v="14"/>
    <s v="Airport Security AnalysisAdditional Security CheckTotal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1"/>
    <x v="0"/>
    <x v="2"/>
    <x v="0"/>
    <n v="0"/>
    <n v="2E+20"/>
    <n v="0"/>
    <n v="0"/>
    <n v="14"/>
    <s v="Airport Security AnalysisAdditional Security CheckVA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1"/>
    <x v="0"/>
    <x v="3"/>
    <x v="0"/>
    <n v="6.2278090318414998"/>
    <n v="2E+20"/>
    <n v="3.3172868440642"/>
    <n v="9.5489811649774303"/>
    <n v="14"/>
    <s v="Airport Security AnalysisAdditional Security CheckVA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2"/>
    <x v="0"/>
    <x v="0"/>
    <x v="0"/>
    <n v="0"/>
    <n v="2E+20"/>
    <n v="0"/>
    <n v="0"/>
    <n v="16"/>
    <s v="Airport Security AnalysisAdditional Security CheckTotal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2"/>
    <x v="0"/>
    <x v="1"/>
    <x v="0"/>
    <n v="5.7547110085867796"/>
    <n v="2E+20"/>
    <n v="3.5734079401413501"/>
    <n v="9.3296414377584291"/>
    <n v="16"/>
    <s v="Airport Security AnalysisAdditional Security CheckTotal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2"/>
    <x v="0"/>
    <x v="2"/>
    <x v="0"/>
    <n v="0"/>
    <n v="2E+20"/>
    <n v="0"/>
    <n v="0"/>
    <n v="16"/>
    <s v="Airport Security AnalysisAdditional Security CheckVA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2"/>
    <x v="0"/>
    <x v="3"/>
    <x v="0"/>
    <n v="5.7547110085867796"/>
    <n v="2E+20"/>
    <n v="3.5734079401413501"/>
    <n v="9.3296414377584291"/>
    <n v="16"/>
    <s v="Airport Security AnalysisAdditional Security CheckVA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3"/>
    <x v="0"/>
    <x v="0"/>
    <x v="0"/>
    <n v="0"/>
    <n v="2E+20"/>
    <n v="0"/>
    <n v="0"/>
    <n v="12"/>
    <s v="Airport Security AnalysisAdditional Security CheckTotal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3"/>
    <x v="0"/>
    <x v="1"/>
    <x v="0"/>
    <n v="6.1498876505243603"/>
    <n v="2E+20"/>
    <n v="3.8209429227020499"/>
    <n v="9.0030279609929895"/>
    <n v="12"/>
    <s v="Airport Security AnalysisAdditional Security CheckTotal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3"/>
    <x v="0"/>
    <x v="2"/>
    <x v="0"/>
    <n v="0"/>
    <n v="2E+20"/>
    <n v="0"/>
    <n v="0"/>
    <n v="12"/>
    <s v="Airport Security AnalysisAdditional Security CheckVA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3"/>
    <x v="0"/>
    <x v="3"/>
    <x v="0"/>
    <n v="6.1498876505243603"/>
    <n v="2E+20"/>
    <n v="3.8209429227020499"/>
    <n v="9.0030279609929895"/>
    <n v="12"/>
    <s v="Airport Security AnalysisAdditional Security CheckVA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4"/>
    <x v="0"/>
    <x v="0"/>
    <x v="0"/>
    <n v="0"/>
    <n v="2E+20"/>
    <n v="0"/>
    <n v="0"/>
    <n v="16"/>
    <s v="Airport Security AnalysisAdditional Security CheckTotal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4"/>
    <x v="0"/>
    <x v="1"/>
    <x v="0"/>
    <n v="6.1844119958285102"/>
    <n v="2E+20"/>
    <n v="3.62169819425515"/>
    <n v="8.9919586916857792"/>
    <n v="16"/>
    <s v="Airport Security AnalysisAdditional Security CheckTotal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4"/>
    <x v="0"/>
    <x v="2"/>
    <x v="0"/>
    <n v="0"/>
    <n v="2E+20"/>
    <n v="0"/>
    <n v="0"/>
    <n v="16"/>
    <s v="Airport Security AnalysisAdditional Security CheckVA Cost Per EntityProcess"/>
    <n v="4"/>
    <n v="0"/>
    <n v="0"/>
    <n v="0.95"/>
    <n v="0"/>
    <n v="0"/>
    <n v="0"/>
    <n v="0"/>
    <n v="0"/>
    <n v="14.5"/>
    <n v="0"/>
    <n v="4"/>
    <n v="1"/>
  </r>
  <r>
    <x v="0"/>
    <s v="2023-06-19 11:25:12"/>
    <n v="4"/>
    <x v="0"/>
    <x v="3"/>
    <x v="0"/>
    <n v="6.1844119958285102"/>
    <n v="2E+20"/>
    <n v="3.62169819425515"/>
    <n v="8.9919586916857792"/>
    <n v="16"/>
    <s v="Airport Security AnalysisAdditional Security CheckVA Time Per EntityProcess"/>
    <n v="4"/>
    <n v="6.0792049216952879"/>
    <n v="0.21866569445862416"/>
    <n v="0.95"/>
    <n v="0.34794591571107231"/>
    <n v="5.7547110085867796"/>
    <n v="6.2278090318414998"/>
    <n v="3.3172868440642"/>
    <n v="9.5489811649774303"/>
    <n v="14.5"/>
    <n v="0.34794591571107231"/>
    <n v="4"/>
    <n v="1"/>
  </r>
  <r>
    <x v="0"/>
    <s v="2023-06-19 11:25:12"/>
    <n v="1"/>
    <x v="1"/>
    <x v="0"/>
    <x v="0"/>
    <n v="0.34181456478838201"/>
    <n v="2E+20"/>
    <n v="0.164538401432719"/>
    <n v="0.582585795870179"/>
    <n v="232"/>
    <s v="Airport Security AnalysisCheck for Proper IdentificationTotal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1"/>
    <x v="1"/>
    <x v="1"/>
    <x v="0"/>
    <n v="64.674862244941806"/>
    <n v="2E+20"/>
    <n v="1.31384536795797"/>
    <n v="126.40933200636201"/>
    <n v="232"/>
    <s v="Airport Security AnalysisCheck for Proper IdentificationTotal Time Per EntityProcess"/>
    <n v="4"/>
    <n v="58.419903961647904"/>
    <n v="9.9742280787683679"/>
    <n v="0.95"/>
    <n v="15.871222648666704"/>
    <n v="48.9488891883123"/>
    <n v="69.095995496749396"/>
    <n v="1.1041395278103501"/>
    <n v="137.43873630026201"/>
    <n v="224"/>
    <n v="15.871222648666704"/>
    <n v="4"/>
    <n v="1"/>
  </r>
  <r>
    <x v="0"/>
    <s v="2023-06-19 11:25:12"/>
    <n v="1"/>
    <x v="1"/>
    <x v="2"/>
    <x v="0"/>
    <n v="0.34181456478838201"/>
    <n v="2E+20"/>
    <n v="0.164538401432719"/>
    <n v="0.582585795870179"/>
    <n v="232"/>
    <s v="Airport Security AnalysisCheck for Proper IdentificationVA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1"/>
    <x v="1"/>
    <x v="3"/>
    <x v="0"/>
    <n v="1.70907282394191"/>
    <n v="2E+20"/>
    <n v="0.82269200716359603"/>
    <n v="2.9129289793508901"/>
    <n v="232"/>
    <s v="Airport Security AnalysisCheck for Proper IdentificationVA Time Per EntityProcess"/>
    <n v="4"/>
    <n v="1.7173694666867099"/>
    <n v="2.5596486221967425E-2"/>
    <n v="0.95"/>
    <n v="4.0729721502672782E-2"/>
    <n v="1.6962918918481"/>
    <n v="1.7546510388434"/>
    <n v="0.80765702815881502"/>
    <n v="2.94145886808644"/>
    <n v="224"/>
    <n v="4.0729721502672782E-2"/>
    <n v="4"/>
    <n v="1"/>
  </r>
  <r>
    <x v="0"/>
    <s v="2023-06-19 11:25:12"/>
    <n v="1"/>
    <x v="1"/>
    <x v="4"/>
    <x v="0"/>
    <n v="0"/>
    <n v="2E+20"/>
    <n v="0"/>
    <n v="0"/>
    <n v="232"/>
    <s v="Airport Security AnalysisCheck for Proper IdentificationWait Cost Per EntityProcess"/>
    <n v="4"/>
    <n v="0"/>
    <n v="0"/>
    <n v="0.95"/>
    <n v="0"/>
    <n v="0"/>
    <n v="0"/>
    <n v="0"/>
    <n v="0"/>
    <n v="224"/>
    <n v="0"/>
    <n v="4"/>
    <n v="1"/>
  </r>
  <r>
    <x v="0"/>
    <s v="2023-06-19 11:25:12"/>
    <n v="1"/>
    <x v="1"/>
    <x v="5"/>
    <x v="0"/>
    <n v="62.965789420999897"/>
    <n v="2E+20"/>
    <n v="0"/>
    <n v="124.436906947956"/>
    <n v="232"/>
    <s v="Airport Security AnalysisCheck for Proper IdentificationWait Time Per EntityProcess"/>
    <n v="4"/>
    <n v="56.702534494961206"/>
    <n v="9.9549172097510752"/>
    <n v="0.95"/>
    <n v="15.840494746788753"/>
    <n v="47.239427076198901"/>
    <n v="67.341344457906004"/>
    <n v="0"/>
    <n v="134.93902171208401"/>
    <n v="224"/>
    <n v="15.840494746788753"/>
    <n v="4"/>
    <n v="1"/>
  </r>
  <r>
    <x v="0"/>
    <s v="2023-06-19 11:25:12"/>
    <n v="2"/>
    <x v="1"/>
    <x v="0"/>
    <x v="0"/>
    <n v="0.35093020776868"/>
    <n v="2E+20"/>
    <n v="0.16732224396051801"/>
    <n v="0.57504037316218204"/>
    <n v="217"/>
    <s v="Airport Security AnalysisCheck for Proper IdentificationTotal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2"/>
    <x v="1"/>
    <x v="1"/>
    <x v="0"/>
    <n v="69.095995496749396"/>
    <n v="2E+20"/>
    <n v="2.3646804396286001"/>
    <n v="137.43873630026201"/>
    <n v="217"/>
    <s v="Airport Security AnalysisCheck for Proper IdentificationTotal Time Per EntityProcess"/>
    <n v="4"/>
    <n v="58.419903961647904"/>
    <n v="9.9742280787683679"/>
    <n v="0.95"/>
    <n v="15.871222648666704"/>
    <n v="48.9488891883123"/>
    <n v="69.095995496749396"/>
    <n v="1.1041395278103501"/>
    <n v="137.43873630026201"/>
    <n v="224"/>
    <n v="15.871222648666704"/>
    <n v="4"/>
    <n v="1"/>
  </r>
  <r>
    <x v="0"/>
    <s v="2023-06-19 11:25:12"/>
    <n v="2"/>
    <x v="1"/>
    <x v="2"/>
    <x v="0"/>
    <n v="0.35093020776868"/>
    <n v="2E+20"/>
    <n v="0.16732224396051801"/>
    <n v="0.57504037316218204"/>
    <n v="217"/>
    <s v="Airport Security AnalysisCheck for Proper IdentificationVA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2"/>
    <x v="1"/>
    <x v="3"/>
    <x v="0"/>
    <n v="1.7546510388434"/>
    <n v="2E+20"/>
    <n v="0.83661121980259201"/>
    <n v="2.8752018658109102"/>
    <n v="217"/>
    <s v="Airport Security AnalysisCheck for Proper IdentificationVA Time Per EntityProcess"/>
    <n v="4"/>
    <n v="1.7173694666867099"/>
    <n v="2.5596486221967425E-2"/>
    <n v="0.95"/>
    <n v="4.0729721502672782E-2"/>
    <n v="1.6962918918481"/>
    <n v="1.7546510388434"/>
    <n v="0.80765702815881502"/>
    <n v="2.94145886808644"/>
    <n v="224"/>
    <n v="4.0729721502672782E-2"/>
    <n v="4"/>
    <n v="1"/>
  </r>
  <r>
    <x v="0"/>
    <s v="2023-06-19 11:25:12"/>
    <n v="2"/>
    <x v="1"/>
    <x v="4"/>
    <x v="0"/>
    <n v="0"/>
    <n v="2E+20"/>
    <n v="0"/>
    <n v="0"/>
    <n v="217"/>
    <s v="Airport Security AnalysisCheck for Proper IdentificationWait Cost Per EntityProcess"/>
    <n v="4"/>
    <n v="0"/>
    <n v="0"/>
    <n v="0.95"/>
    <n v="0"/>
    <n v="0"/>
    <n v="0"/>
    <n v="0"/>
    <n v="0"/>
    <n v="224"/>
    <n v="0"/>
    <n v="4"/>
    <n v="1"/>
  </r>
  <r>
    <x v="0"/>
    <s v="2023-06-19 11:25:12"/>
    <n v="2"/>
    <x v="1"/>
    <x v="5"/>
    <x v="0"/>
    <n v="67.341344457906004"/>
    <n v="2E+20"/>
    <n v="0"/>
    <n v="134.93902171208401"/>
    <n v="217"/>
    <s v="Airport Security AnalysisCheck for Proper IdentificationWait Time Per EntityProcess"/>
    <n v="4"/>
    <n v="56.702534494961206"/>
    <n v="9.9549172097510752"/>
    <n v="0.95"/>
    <n v="15.840494746788753"/>
    <n v="47.239427076198901"/>
    <n v="67.341344457906004"/>
    <n v="0"/>
    <n v="134.93902171208401"/>
    <n v="224"/>
    <n v="15.840494746788753"/>
    <n v="4"/>
    <n v="1"/>
  </r>
  <r>
    <x v="0"/>
    <s v="2023-06-19 11:25:12"/>
    <n v="3"/>
    <x v="1"/>
    <x v="0"/>
    <x v="0"/>
    <n v="0.33925837836962103"/>
    <n v="2E+20"/>
    <n v="0.16153140563176299"/>
    <n v="0.58275204028291205"/>
    <n v="214"/>
    <s v="Airport Security AnalysisCheck for Proper IdentificationTotal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3"/>
    <x v="1"/>
    <x v="1"/>
    <x v="0"/>
    <n v="50.9598689165881"/>
    <n v="2E+20"/>
    <n v="1.4236351662025499"/>
    <n v="97.618935576835995"/>
    <n v="214"/>
    <s v="Airport Security AnalysisCheck for Proper IdentificationTotal Time Per EntityProcess"/>
    <n v="4"/>
    <n v="58.419903961647904"/>
    <n v="9.9742280787683679"/>
    <n v="0.95"/>
    <n v="15.871222648666704"/>
    <n v="48.9488891883123"/>
    <n v="69.095995496749396"/>
    <n v="1.1041395278103501"/>
    <n v="137.43873630026201"/>
    <n v="224"/>
    <n v="15.871222648666704"/>
    <n v="4"/>
    <n v="1"/>
  </r>
  <r>
    <x v="0"/>
    <s v="2023-06-19 11:25:12"/>
    <n v="3"/>
    <x v="1"/>
    <x v="2"/>
    <x v="0"/>
    <n v="0.33925837836962103"/>
    <n v="2E+20"/>
    <n v="0.16153140563176299"/>
    <n v="0.58275204028291205"/>
    <n v="214"/>
    <s v="Airport Security AnalysisCheck for Proper IdentificationVA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3"/>
    <x v="1"/>
    <x v="3"/>
    <x v="0"/>
    <n v="1.6962918918481"/>
    <n v="2E+20"/>
    <n v="0.80765702815881502"/>
    <n v="2.91376020141456"/>
    <n v="214"/>
    <s v="Airport Security AnalysisCheck for Proper IdentificationVA Time Per EntityProcess"/>
    <n v="4"/>
    <n v="1.7173694666867099"/>
    <n v="2.5596486221967425E-2"/>
    <n v="0.95"/>
    <n v="4.0729721502672782E-2"/>
    <n v="1.6962918918481"/>
    <n v="1.7546510388434"/>
    <n v="0.80765702815881502"/>
    <n v="2.94145886808644"/>
    <n v="224"/>
    <n v="4.0729721502672782E-2"/>
    <n v="4"/>
    <n v="1"/>
  </r>
  <r>
    <x v="0"/>
    <s v="2023-06-19 11:25:12"/>
    <n v="3"/>
    <x v="1"/>
    <x v="4"/>
    <x v="0"/>
    <n v="0"/>
    <n v="2E+20"/>
    <n v="0"/>
    <n v="0"/>
    <n v="214"/>
    <s v="Airport Security AnalysisCheck for Proper IdentificationWait Cost Per EntityProcess"/>
    <n v="4"/>
    <n v="0"/>
    <n v="0"/>
    <n v="0.95"/>
    <n v="0"/>
    <n v="0"/>
    <n v="0"/>
    <n v="0"/>
    <n v="0"/>
    <n v="224"/>
    <n v="0"/>
    <n v="4"/>
    <n v="1"/>
  </r>
  <r>
    <x v="0"/>
    <s v="2023-06-19 11:25:12"/>
    <n v="3"/>
    <x v="1"/>
    <x v="5"/>
    <x v="0"/>
    <n v="49.263577024740002"/>
    <n v="2E+20"/>
    <n v="0"/>
    <n v="96.569639769645207"/>
    <n v="214"/>
    <s v="Airport Security AnalysisCheck for Proper IdentificationWait Time Per EntityProcess"/>
    <n v="4"/>
    <n v="56.702534494961206"/>
    <n v="9.9549172097510752"/>
    <n v="0.95"/>
    <n v="15.840494746788753"/>
    <n v="47.239427076198901"/>
    <n v="67.341344457906004"/>
    <n v="0"/>
    <n v="134.93902171208401"/>
    <n v="224"/>
    <n v="15.840494746788753"/>
    <n v="4"/>
    <n v="1"/>
  </r>
  <r>
    <x v="0"/>
    <s v="2023-06-19 11:25:12"/>
    <n v="4"/>
    <x v="1"/>
    <x v="0"/>
    <x v="0"/>
    <n v="0.34189242242268703"/>
    <n v="2E+20"/>
    <n v="0.16390218168753801"/>
    <n v="0.58829177361728902"/>
    <n v="233"/>
    <s v="Airport Security AnalysisCheck for Proper IdentificationTotal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4"/>
    <x v="1"/>
    <x v="1"/>
    <x v="0"/>
    <n v="48.9488891883123"/>
    <n v="2E+20"/>
    <n v="1.1041395278103501"/>
    <n v="89.8708923096532"/>
    <n v="233"/>
    <s v="Airport Security AnalysisCheck for Proper IdentificationTotal Time Per EntityProcess"/>
    <n v="4"/>
    <n v="58.419903961647904"/>
    <n v="9.9742280787683679"/>
    <n v="0.95"/>
    <n v="15.871222648666704"/>
    <n v="48.9488891883123"/>
    <n v="69.095995496749396"/>
    <n v="1.1041395278103501"/>
    <n v="137.43873630026201"/>
    <n v="224"/>
    <n v="15.871222648666704"/>
    <n v="4"/>
    <n v="1"/>
  </r>
  <r>
    <x v="0"/>
    <s v="2023-06-19 11:25:12"/>
    <n v="4"/>
    <x v="1"/>
    <x v="2"/>
    <x v="0"/>
    <n v="0.34189242242268703"/>
    <n v="2E+20"/>
    <n v="0.16390218168753801"/>
    <n v="0.58829177361728902"/>
    <n v="233"/>
    <s v="Airport Security AnalysisCheck for Proper IdentificationVA Cost Per EntityProcess"/>
    <n v="4"/>
    <n v="0.34347389333734257"/>
    <n v="5.1192972443930953E-3"/>
    <n v="0.95"/>
    <n v="8.1459443005339367E-3"/>
    <n v="0.33925837836962103"/>
    <n v="0.35093020776868"/>
    <n v="0.16153140563176299"/>
    <n v="0.58829177361728902"/>
    <n v="224"/>
    <n v="8.1459443005339367E-3"/>
    <n v="4"/>
    <n v="1"/>
  </r>
  <r>
    <x v="0"/>
    <s v="2023-06-19 11:25:12"/>
    <n v="4"/>
    <x v="1"/>
    <x v="3"/>
    <x v="0"/>
    <n v="1.7094621121134299"/>
    <n v="2E+20"/>
    <n v="0.81951090843769203"/>
    <n v="2.94145886808644"/>
    <n v="233"/>
    <s v="Airport Security AnalysisCheck for Proper IdentificationVA Time Per EntityProcess"/>
    <n v="4"/>
    <n v="1.7173694666867099"/>
    <n v="2.5596486221967425E-2"/>
    <n v="0.95"/>
    <n v="4.0729721502672782E-2"/>
    <n v="1.6962918918481"/>
    <n v="1.7546510388434"/>
    <n v="0.80765702815881502"/>
    <n v="2.94145886808644"/>
    <n v="224"/>
    <n v="4.0729721502672782E-2"/>
    <n v="4"/>
    <n v="1"/>
  </r>
  <r>
    <x v="0"/>
    <s v="2023-06-19 11:25:12"/>
    <n v="4"/>
    <x v="1"/>
    <x v="4"/>
    <x v="0"/>
    <n v="0"/>
    <n v="2E+20"/>
    <n v="0"/>
    <n v="0"/>
    <n v="233"/>
    <s v="Airport Security AnalysisCheck for Proper IdentificationWait Cost Per EntityProcess"/>
    <n v="4"/>
    <n v="0"/>
    <n v="0"/>
    <n v="0.95"/>
    <n v="0"/>
    <n v="0"/>
    <n v="0"/>
    <n v="0"/>
    <n v="0"/>
    <n v="224"/>
    <n v="0"/>
    <n v="4"/>
    <n v="1"/>
  </r>
  <r>
    <x v="0"/>
    <s v="2023-06-19 11:25:12"/>
    <n v="4"/>
    <x v="1"/>
    <x v="5"/>
    <x v="0"/>
    <n v="47.239427076198901"/>
    <n v="2E+20"/>
    <n v="0"/>
    <n v="87.743951882910807"/>
    <n v="233"/>
    <s v="Airport Security AnalysisCheck for Proper IdentificationWait Time Per EntityProcess"/>
    <n v="4"/>
    <n v="56.702534494961206"/>
    <n v="9.9549172097510752"/>
    <n v="0.95"/>
    <n v="15.840494746788753"/>
    <n v="47.239427076198901"/>
    <n v="67.341344457906004"/>
    <n v="0"/>
    <n v="134.93902171208401"/>
    <n v="224"/>
    <n v="15.840494746788753"/>
    <n v="4"/>
    <n v="1"/>
  </r>
  <r>
    <x v="0"/>
    <s v="2023-06-19 11:25:12"/>
    <n v="1"/>
    <x v="2"/>
    <x v="6"/>
    <x v="1"/>
    <n v="0"/>
    <n v="2E+20"/>
    <n v="0"/>
    <n v="0"/>
    <n v="232"/>
    <s v="Airport Security AnalysisCheck for Proper Identification.QueueWaiting CostQueue"/>
    <n v="4"/>
    <n v="0"/>
    <n v="0"/>
    <n v="0.95"/>
    <n v="0"/>
    <n v="0"/>
    <n v="0"/>
    <n v="0"/>
    <n v="0"/>
    <n v="225"/>
    <n v="0"/>
    <n v="4"/>
    <n v="1"/>
  </r>
  <r>
    <x v="0"/>
    <s v="2023-06-19 11:25:12"/>
    <n v="1"/>
    <x v="2"/>
    <x v="7"/>
    <x v="1"/>
    <n v="62.965789420999897"/>
    <n v="2E+20"/>
    <n v="0"/>
    <n v="124.436906947956"/>
    <n v="232"/>
    <s v="Airport Security AnalysisCheck for Proper Identification.QueueWaiting TimeQueue"/>
    <n v="4"/>
    <n v="56.896205939992733"/>
    <n v="9.7395480238650887"/>
    <n v="0.95"/>
    <n v="15.497794311841345"/>
    <n v="47.574043671421599"/>
    <n v="67.341344457906004"/>
    <n v="0"/>
    <n v="134.93902171208401"/>
    <n v="225"/>
    <n v="15.497794311841345"/>
    <n v="4"/>
    <n v="1"/>
  </r>
  <r>
    <x v="0"/>
    <s v="2023-06-19 11:25:12"/>
    <n v="2"/>
    <x v="2"/>
    <x v="6"/>
    <x v="1"/>
    <n v="0"/>
    <n v="2E+20"/>
    <n v="0"/>
    <n v="0"/>
    <n v="217"/>
    <s v="Airport Security AnalysisCheck for Proper Identification.QueueWaiting CostQueue"/>
    <n v="4"/>
    <n v="0"/>
    <n v="0"/>
    <n v="0.95"/>
    <n v="0"/>
    <n v="0"/>
    <n v="0"/>
    <n v="0"/>
    <n v="0"/>
    <n v="225"/>
    <n v="0"/>
    <n v="4"/>
    <n v="1"/>
  </r>
  <r>
    <x v="0"/>
    <s v="2023-06-19 11:25:12"/>
    <n v="2"/>
    <x v="2"/>
    <x v="7"/>
    <x v="1"/>
    <n v="67.341344457906004"/>
    <n v="2E+20"/>
    <n v="0"/>
    <n v="134.93902171208401"/>
    <n v="217"/>
    <s v="Airport Security AnalysisCheck for Proper Identification.QueueWaiting TimeQueue"/>
    <n v="4"/>
    <n v="56.896205939992733"/>
    <n v="9.7395480238650887"/>
    <n v="0.95"/>
    <n v="15.497794311841345"/>
    <n v="47.574043671421599"/>
    <n v="67.341344457906004"/>
    <n v="0"/>
    <n v="134.93902171208401"/>
    <n v="225"/>
    <n v="15.497794311841345"/>
    <n v="4"/>
    <n v="1"/>
  </r>
  <r>
    <x v="0"/>
    <s v="2023-06-19 11:25:12"/>
    <n v="3"/>
    <x v="2"/>
    <x v="6"/>
    <x v="1"/>
    <n v="0"/>
    <n v="2E+20"/>
    <n v="0"/>
    <n v="0"/>
    <n v="216"/>
    <s v="Airport Security AnalysisCheck for Proper Identification.QueueWaiting CostQueue"/>
    <n v="4"/>
    <n v="0"/>
    <n v="0"/>
    <n v="0.95"/>
    <n v="0"/>
    <n v="0"/>
    <n v="0"/>
    <n v="0"/>
    <n v="0"/>
    <n v="225"/>
    <n v="0"/>
    <n v="4"/>
    <n v="1"/>
  </r>
  <r>
    <x v="0"/>
    <s v="2023-06-19 11:25:12"/>
    <n v="3"/>
    <x v="2"/>
    <x v="7"/>
    <x v="1"/>
    <n v="49.703646209643402"/>
    <n v="2E+20"/>
    <n v="0"/>
    <n v="96.852718060919699"/>
    <n v="216"/>
    <s v="Airport Security AnalysisCheck for Proper Identification.QueueWaiting TimeQueue"/>
    <n v="4"/>
    <n v="56.896205939992733"/>
    <n v="9.7395480238650887"/>
    <n v="0.95"/>
    <n v="15.497794311841345"/>
    <n v="47.574043671421599"/>
    <n v="67.341344457906004"/>
    <n v="0"/>
    <n v="134.93902171208401"/>
    <n v="225"/>
    <n v="15.497794311841345"/>
    <n v="4"/>
    <n v="1"/>
  </r>
  <r>
    <x v="0"/>
    <s v="2023-06-19 11:25:12"/>
    <n v="4"/>
    <x v="2"/>
    <x v="6"/>
    <x v="1"/>
    <n v="0"/>
    <n v="2E+20"/>
    <n v="0"/>
    <n v="0"/>
    <n v="235"/>
    <s v="Airport Security AnalysisCheck for Proper Identification.QueueWaiting CostQueue"/>
    <n v="4"/>
    <n v="0"/>
    <n v="0"/>
    <n v="0.95"/>
    <n v="0"/>
    <n v="0"/>
    <n v="0"/>
    <n v="0"/>
    <n v="0"/>
    <n v="225"/>
    <n v="0"/>
    <n v="4"/>
    <n v="1"/>
  </r>
  <r>
    <x v="0"/>
    <s v="2023-06-19 11:25:12"/>
    <n v="4"/>
    <x v="2"/>
    <x v="7"/>
    <x v="1"/>
    <n v="47.574043671421599"/>
    <n v="2E+20"/>
    <n v="0"/>
    <n v="87.743951882910807"/>
    <n v="235"/>
    <s v="Airport Security AnalysisCheck for Proper Identification.QueueWaiting TimeQueue"/>
    <n v="4"/>
    <n v="56.896205939992733"/>
    <n v="9.7395480238650887"/>
    <n v="0.95"/>
    <n v="15.497794311841345"/>
    <n v="47.574043671421599"/>
    <n v="67.341344457906004"/>
    <n v="0"/>
    <n v="134.93902171208401"/>
    <n v="225"/>
    <n v="15.497794311841345"/>
    <n v="4"/>
    <n v="1"/>
  </r>
  <r>
    <x v="0"/>
    <s v="2023-06-19 11:25:12"/>
    <n v="1"/>
    <x v="3"/>
    <x v="8"/>
    <x v="2"/>
    <n v="0"/>
    <n v="2E+20"/>
    <n v="0"/>
    <n v="0"/>
    <n v="173"/>
    <s v="Airport Security AnalysisEntity 1NVA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9"/>
    <x v="2"/>
    <n v="0"/>
    <n v="2E+20"/>
    <n v="0"/>
    <n v="0"/>
    <n v="173"/>
    <s v="Airport Security AnalysisEntity 1NVA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10"/>
    <x v="2"/>
    <n v="0"/>
    <n v="2E+20"/>
    <n v="0"/>
    <n v="0"/>
    <n v="173"/>
    <s v="Airport Security AnalysisEntity 1Oth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11"/>
    <x v="2"/>
    <n v="0"/>
    <n v="2E+20"/>
    <n v="0"/>
    <n v="0"/>
    <n v="173"/>
    <s v="Airport Security AnalysisEntity 1Oth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12"/>
    <x v="2"/>
    <n v="1.0846848610775599"/>
    <n v="2E+20"/>
    <n v="0.220314780433955"/>
    <n v="3.0232879995713602"/>
    <n v="173"/>
    <s v="Airport Security AnalysisEntity 1Total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1"/>
    <x v="3"/>
    <x v="13"/>
    <x v="2"/>
    <n v="111.340145729152"/>
    <n v="2E+20"/>
    <n v="1.6609824237975099"/>
    <n v="246.260250697495"/>
    <n v="173"/>
    <s v="Airport Security AnalysisEntity 1Total TimeEntity"/>
    <n v="4"/>
    <n v="109.32912949002406"/>
    <n v="22.221491713494196"/>
    <n v="0.95"/>
    <n v="35.359352100751067"/>
    <n v="87.617139838625505"/>
    <n v="139.32738560479001"/>
    <n v="1.6609824237975099"/>
    <n v="263.75396354921901"/>
    <n v="179.25"/>
    <n v="35.359352100751067"/>
    <n v="4"/>
    <n v="1"/>
  </r>
  <r>
    <x v="0"/>
    <s v="2023-06-19 11:25:12"/>
    <n v="1"/>
    <x v="3"/>
    <x v="14"/>
    <x v="2"/>
    <n v="0"/>
    <n v="2E+20"/>
    <n v="0"/>
    <n v="0"/>
    <n v="173"/>
    <s v="Airport Security AnalysisEntity 1Transf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15"/>
    <x v="2"/>
    <n v="0"/>
    <n v="2E+20"/>
    <n v="0"/>
    <n v="0"/>
    <n v="173"/>
    <s v="Airport Security AnalysisEntity 1Transf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16"/>
    <x v="2"/>
    <n v="1.0846848610775599"/>
    <n v="2E+20"/>
    <n v="0.220314780433955"/>
    <n v="3.0232879995713602"/>
    <n v="173"/>
    <s v="Airport Security AnalysisEntity 1VA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1"/>
    <x v="3"/>
    <x v="17"/>
    <x v="2"/>
    <n v="5.9274088513171499"/>
    <n v="2E+20"/>
    <n v="1.1015739021697799"/>
    <n v="15.1164399978568"/>
    <n v="173"/>
    <s v="Airport Security AnalysisEntity 1VA TimeEntity"/>
    <n v="4"/>
    <n v="5.9199498486403952"/>
    <n v="5.6917182194290962E-2"/>
    <n v="0.95"/>
    <n v="9.0567938090690456E-2"/>
    <n v="5.8524378832429198"/>
    <n v="5.9906089248495"/>
    <n v="1.00943713548031"/>
    <n v="25.703581364957799"/>
    <n v="179.25"/>
    <n v="9.0567938090690456E-2"/>
    <n v="4"/>
    <n v="1"/>
  </r>
  <r>
    <x v="0"/>
    <s v="2023-06-19 11:25:12"/>
    <n v="1"/>
    <x v="3"/>
    <x v="18"/>
    <x v="2"/>
    <n v="0"/>
    <n v="2E+20"/>
    <n v="0"/>
    <n v="0"/>
    <n v="173"/>
    <s v="Airport Security AnalysisEntity 1Wait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1"/>
    <x v="3"/>
    <x v="19"/>
    <x v="2"/>
    <n v="105.412736877835"/>
    <n v="2E+20"/>
    <n v="0"/>
    <n v="233.23822686316601"/>
    <n v="173"/>
    <s v="Airport Security AnalysisEntity 1Wait TimeEntity"/>
    <n v="4"/>
    <n v="103.40917964138382"/>
    <n v="22.165847871959986"/>
    <n v="0.95"/>
    <n v="35.2708103317999"/>
    <n v="81.764701955382606"/>
    <n v="133.33677667994101"/>
    <n v="0"/>
    <n v="257.28997277017498"/>
    <n v="179.25"/>
    <n v="35.2708103317999"/>
    <n v="4"/>
    <n v="1"/>
  </r>
  <r>
    <x v="0"/>
    <s v="2023-06-19 11:25:12"/>
    <n v="2"/>
    <x v="3"/>
    <x v="8"/>
    <x v="2"/>
    <n v="0"/>
    <n v="2E+20"/>
    <n v="0"/>
    <n v="0"/>
    <n v="182"/>
    <s v="Airport Security AnalysisEntity 1NVA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9"/>
    <x v="2"/>
    <n v="0"/>
    <n v="2E+20"/>
    <n v="0"/>
    <n v="0"/>
    <n v="182"/>
    <s v="Airport Security AnalysisEntity 1NVA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10"/>
    <x v="2"/>
    <n v="0"/>
    <n v="2E+20"/>
    <n v="0"/>
    <n v="0"/>
    <n v="182"/>
    <s v="Airport Security AnalysisEntity 1Oth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11"/>
    <x v="2"/>
    <n v="0"/>
    <n v="2E+20"/>
    <n v="0"/>
    <n v="0"/>
    <n v="182"/>
    <s v="Airport Security AnalysisEntity 1Oth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12"/>
    <x v="2"/>
    <n v="1.09694005295079"/>
    <n v="2E+20"/>
    <n v="0.26177601592718203"/>
    <n v="4.66027854408485"/>
    <n v="182"/>
    <s v="Airport Security AnalysisEntity 1Total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2"/>
    <x v="3"/>
    <x v="13"/>
    <x v="2"/>
    <n v="139.32738560479001"/>
    <n v="2E+20"/>
    <n v="5.7556611251694596"/>
    <n v="263.75396354921901"/>
    <n v="182"/>
    <s v="Airport Security AnalysisEntity 1Total TimeEntity"/>
    <n v="4"/>
    <n v="109.32912949002406"/>
    <n v="22.221491713494196"/>
    <n v="0.95"/>
    <n v="35.359352100751067"/>
    <n v="87.617139838625505"/>
    <n v="139.32738560479001"/>
    <n v="1.6609824237975099"/>
    <n v="263.75396354921901"/>
    <n v="179.25"/>
    <n v="35.359352100751067"/>
    <n v="4"/>
    <n v="1"/>
  </r>
  <r>
    <x v="0"/>
    <s v="2023-06-19 11:25:12"/>
    <n v="2"/>
    <x v="3"/>
    <x v="14"/>
    <x v="2"/>
    <n v="0"/>
    <n v="2E+20"/>
    <n v="0"/>
    <n v="0"/>
    <n v="182"/>
    <s v="Airport Security AnalysisEntity 1Transf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15"/>
    <x v="2"/>
    <n v="0"/>
    <n v="2E+20"/>
    <n v="0"/>
    <n v="0"/>
    <n v="182"/>
    <s v="Airport Security AnalysisEntity 1Transf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16"/>
    <x v="2"/>
    <n v="1.09694005295079"/>
    <n v="2E+20"/>
    <n v="0.26177601592718203"/>
    <n v="4.66027854408485"/>
    <n v="182"/>
    <s v="Airport Security AnalysisEntity 1VA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2"/>
    <x v="3"/>
    <x v="17"/>
    <x v="2"/>
    <n v="5.9906089248495"/>
    <n v="2E+20"/>
    <n v="1.3088800796359099"/>
    <n v="23.3013927204243"/>
    <n v="182"/>
    <s v="Airport Security AnalysisEntity 1VA TimeEntity"/>
    <n v="4"/>
    <n v="5.9199498486403952"/>
    <n v="5.6917182194290962E-2"/>
    <n v="0.95"/>
    <n v="9.0567938090690456E-2"/>
    <n v="5.8524378832429198"/>
    <n v="5.9906089248495"/>
    <n v="1.00943713548031"/>
    <n v="25.703581364957799"/>
    <n v="179.25"/>
    <n v="9.0567938090690456E-2"/>
    <n v="4"/>
    <n v="1"/>
  </r>
  <r>
    <x v="0"/>
    <s v="2023-06-19 11:25:12"/>
    <n v="2"/>
    <x v="3"/>
    <x v="18"/>
    <x v="2"/>
    <n v="0"/>
    <n v="2E+20"/>
    <n v="0"/>
    <n v="0"/>
    <n v="182"/>
    <s v="Airport Security AnalysisEntity 1Wait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2"/>
    <x v="3"/>
    <x v="19"/>
    <x v="2"/>
    <n v="133.33677667994101"/>
    <n v="2E+20"/>
    <n v="0"/>
    <n v="257.28997277017498"/>
    <n v="182"/>
    <s v="Airport Security AnalysisEntity 1Wait TimeEntity"/>
    <n v="4"/>
    <n v="103.40917964138382"/>
    <n v="22.165847871959986"/>
    <n v="0.95"/>
    <n v="35.2708103317999"/>
    <n v="81.764701955382606"/>
    <n v="133.33677667994101"/>
    <n v="0"/>
    <n v="257.28997277017498"/>
    <n v="179.25"/>
    <n v="35.2708103317999"/>
    <n v="4"/>
    <n v="1"/>
  </r>
  <r>
    <x v="0"/>
    <s v="2023-06-19 11:25:12"/>
    <n v="3"/>
    <x v="3"/>
    <x v="8"/>
    <x v="2"/>
    <n v="0"/>
    <n v="2E+20"/>
    <n v="0"/>
    <n v="0"/>
    <n v="185"/>
    <s v="Airport Security AnalysisEntity 1NVA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9"/>
    <x v="2"/>
    <n v="0"/>
    <n v="2E+20"/>
    <n v="0"/>
    <n v="0"/>
    <n v="185"/>
    <s v="Airport Security AnalysisEntity 1NVA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10"/>
    <x v="2"/>
    <n v="0"/>
    <n v="2E+20"/>
    <n v="0"/>
    <n v="0"/>
    <n v="185"/>
    <s v="Airport Security AnalysisEntity 1Oth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11"/>
    <x v="2"/>
    <n v="0"/>
    <n v="2E+20"/>
    <n v="0"/>
    <n v="0"/>
    <n v="185"/>
    <s v="Airport Security AnalysisEntity 1Oth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12"/>
    <x v="2"/>
    <n v="1.1020864207533301"/>
    <n v="2E+20"/>
    <n v="0.26449392730808102"/>
    <n v="5.1407162729915701"/>
    <n v="185"/>
    <s v="Airport Security AnalysisEntity 1Total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3"/>
    <x v="3"/>
    <x v="13"/>
    <x v="2"/>
    <n v="99.031846787528707"/>
    <n v="2E+20"/>
    <n v="3.3416969860268"/>
    <n v="174.66818379482001"/>
    <n v="185"/>
    <s v="Airport Security AnalysisEntity 1Total TimeEntity"/>
    <n v="4"/>
    <n v="109.32912949002406"/>
    <n v="22.221491713494196"/>
    <n v="0.95"/>
    <n v="35.359352100751067"/>
    <n v="87.617139838625505"/>
    <n v="139.32738560479001"/>
    <n v="1.6609824237975099"/>
    <n v="263.75396354921901"/>
    <n v="179.25"/>
    <n v="35.359352100751067"/>
    <n v="4"/>
    <n v="1"/>
  </r>
  <r>
    <x v="0"/>
    <s v="2023-06-19 11:25:12"/>
    <n v="3"/>
    <x v="3"/>
    <x v="14"/>
    <x v="2"/>
    <n v="0"/>
    <n v="2E+20"/>
    <n v="0"/>
    <n v="0"/>
    <n v="185"/>
    <s v="Airport Security AnalysisEntity 1Transf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15"/>
    <x v="2"/>
    <n v="0"/>
    <n v="2E+20"/>
    <n v="0"/>
    <n v="0"/>
    <n v="185"/>
    <s v="Airport Security AnalysisEntity 1Transf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16"/>
    <x v="2"/>
    <n v="1.1020864207533301"/>
    <n v="2E+20"/>
    <n v="0.26449392730808102"/>
    <n v="5.1407162729915701"/>
    <n v="185"/>
    <s v="Airport Security AnalysisEntity 1VA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3"/>
    <x v="3"/>
    <x v="17"/>
    <x v="2"/>
    <n v="5.9093437351520102"/>
    <n v="2E+20"/>
    <n v="1.3224696365404001"/>
    <n v="25.703581364957799"/>
    <n v="185"/>
    <s v="Airport Security AnalysisEntity 1VA TimeEntity"/>
    <n v="4"/>
    <n v="5.9199498486403952"/>
    <n v="5.6917182194290962E-2"/>
    <n v="0.95"/>
    <n v="9.0567938090690456E-2"/>
    <n v="5.8524378832429198"/>
    <n v="5.9906089248495"/>
    <n v="1.00943713548031"/>
    <n v="25.703581364957799"/>
    <n v="179.25"/>
    <n v="9.0567938090690456E-2"/>
    <n v="4"/>
    <n v="1"/>
  </r>
  <r>
    <x v="0"/>
    <s v="2023-06-19 11:25:12"/>
    <n v="3"/>
    <x v="3"/>
    <x v="18"/>
    <x v="2"/>
    <n v="0"/>
    <n v="2E+20"/>
    <n v="0"/>
    <n v="0"/>
    <n v="185"/>
    <s v="Airport Security AnalysisEntity 1Wait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3"/>
    <x v="3"/>
    <x v="19"/>
    <x v="2"/>
    <n v="93.122503052376601"/>
    <n v="2E+20"/>
    <n v="1.62208188466924"/>
    <n v="169.69047959579501"/>
    <n v="185"/>
    <s v="Airport Security AnalysisEntity 1Wait TimeEntity"/>
    <n v="4"/>
    <n v="103.40917964138382"/>
    <n v="22.165847871959986"/>
    <n v="0.95"/>
    <n v="35.2708103317999"/>
    <n v="81.764701955382606"/>
    <n v="133.33677667994101"/>
    <n v="0"/>
    <n v="257.28997277017498"/>
    <n v="179.25"/>
    <n v="35.2708103317999"/>
    <n v="4"/>
    <n v="1"/>
  </r>
  <r>
    <x v="0"/>
    <s v="2023-06-19 11:25:12"/>
    <n v="4"/>
    <x v="3"/>
    <x v="8"/>
    <x v="2"/>
    <n v="0"/>
    <n v="2E+20"/>
    <n v="0"/>
    <n v="0"/>
    <n v="177"/>
    <s v="Airport Security AnalysisEntity 1NVA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9"/>
    <x v="2"/>
    <n v="0"/>
    <n v="2E+20"/>
    <n v="0"/>
    <n v="0"/>
    <n v="177"/>
    <s v="Airport Security AnalysisEntity 1NVA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10"/>
    <x v="2"/>
    <n v="0"/>
    <n v="2E+20"/>
    <n v="0"/>
    <n v="0"/>
    <n v="177"/>
    <s v="Airport Security AnalysisEntity 1Oth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11"/>
    <x v="2"/>
    <n v="0"/>
    <n v="2E+20"/>
    <n v="0"/>
    <n v="0"/>
    <n v="177"/>
    <s v="Airport Security AnalysisEntity 1Oth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12"/>
    <x v="2"/>
    <n v="1.0586789981929301"/>
    <n v="2E+20"/>
    <n v="0.201887427096062"/>
    <n v="4.4143800229838099"/>
    <n v="177"/>
    <s v="Airport Security AnalysisEntity 1Total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4"/>
    <x v="3"/>
    <x v="13"/>
    <x v="2"/>
    <n v="87.617139838625505"/>
    <n v="2E+20"/>
    <n v="5.3958262375523702"/>
    <n v="219.173020345753"/>
    <n v="177"/>
    <s v="Airport Security AnalysisEntity 1Total TimeEntity"/>
    <n v="4"/>
    <n v="109.32912949002406"/>
    <n v="22.221491713494196"/>
    <n v="0.95"/>
    <n v="35.359352100751067"/>
    <n v="87.617139838625505"/>
    <n v="139.32738560479001"/>
    <n v="1.6609824237975099"/>
    <n v="263.75396354921901"/>
    <n v="179.25"/>
    <n v="35.359352100751067"/>
    <n v="4"/>
    <n v="1"/>
  </r>
  <r>
    <x v="0"/>
    <s v="2023-06-19 11:25:12"/>
    <n v="4"/>
    <x v="3"/>
    <x v="14"/>
    <x v="2"/>
    <n v="0"/>
    <n v="2E+20"/>
    <n v="0"/>
    <n v="0"/>
    <n v="177"/>
    <s v="Airport Security AnalysisEntity 1Transfer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15"/>
    <x v="2"/>
    <n v="0"/>
    <n v="2E+20"/>
    <n v="0"/>
    <n v="0"/>
    <n v="177"/>
    <s v="Airport Security AnalysisEntity 1Transfer Time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16"/>
    <x v="2"/>
    <n v="1.0586789981929301"/>
    <n v="2E+20"/>
    <n v="0.201887427096062"/>
    <n v="4.4143800229838099"/>
    <n v="177"/>
    <s v="Airport Security AnalysisEntity 1VA CostEntity"/>
    <n v="4"/>
    <n v="1.0855975832436524"/>
    <n v="1.9373320695941058E-2"/>
    <n v="0.95"/>
    <n v="3.0827276434937004E-2"/>
    <n v="1.0586789981929301"/>
    <n v="1.1020864207533301"/>
    <n v="0.201887427096062"/>
    <n v="5.1407162729915701"/>
    <n v="179.25"/>
    <n v="3.0827276434937004E-2"/>
    <n v="4"/>
    <n v="1"/>
  </r>
  <r>
    <x v="0"/>
    <s v="2023-06-19 11:25:12"/>
    <n v="4"/>
    <x v="3"/>
    <x v="17"/>
    <x v="2"/>
    <n v="5.8524378832429198"/>
    <n v="2E+20"/>
    <n v="1.00943713548031"/>
    <n v="22.071900114919"/>
    <n v="177"/>
    <s v="Airport Security AnalysisEntity 1VA TimeEntity"/>
    <n v="4"/>
    <n v="5.9199498486403952"/>
    <n v="5.6917182194290962E-2"/>
    <n v="0.95"/>
    <n v="9.0567938090690456E-2"/>
    <n v="5.8524378832429198"/>
    <n v="5.9906089248495"/>
    <n v="1.00943713548031"/>
    <n v="25.703581364957799"/>
    <n v="179.25"/>
    <n v="9.0567938090690456E-2"/>
    <n v="4"/>
    <n v="1"/>
  </r>
  <r>
    <x v="0"/>
    <s v="2023-06-19 11:25:12"/>
    <n v="4"/>
    <x v="3"/>
    <x v="18"/>
    <x v="2"/>
    <n v="0"/>
    <n v="2E+20"/>
    <n v="0"/>
    <n v="0"/>
    <n v="177"/>
    <s v="Airport Security AnalysisEntity 1Wait CostEntity"/>
    <n v="4"/>
    <n v="0"/>
    <n v="0"/>
    <n v="0.95"/>
    <n v="0"/>
    <n v="0"/>
    <n v="0"/>
    <n v="0"/>
    <n v="0"/>
    <n v="179.25"/>
    <n v="0"/>
    <n v="4"/>
    <n v="1"/>
  </r>
  <r>
    <x v="0"/>
    <s v="2023-06-19 11:25:12"/>
    <n v="4"/>
    <x v="3"/>
    <x v="19"/>
    <x v="2"/>
    <n v="81.764701955382606"/>
    <n v="2E+20"/>
    <n v="0"/>
    <n v="212.145179120785"/>
    <n v="177"/>
    <s v="Airport Security AnalysisEntity 1Wait TimeEntity"/>
    <n v="4"/>
    <n v="103.40917964138382"/>
    <n v="22.165847871959986"/>
    <n v="0.95"/>
    <n v="35.2708103317999"/>
    <n v="81.764701955382606"/>
    <n v="133.33677667994101"/>
    <n v="0"/>
    <n v="257.28997277017498"/>
    <n v="179.25"/>
    <n v="35.2708103317999"/>
    <n v="4"/>
    <n v="1"/>
  </r>
  <r>
    <x v="0"/>
    <s v="2023-06-19 11:25:12"/>
    <n v="1"/>
    <x v="4"/>
    <x v="0"/>
    <x v="0"/>
    <n v="1.4491618029714599"/>
    <n v="2E+20"/>
    <n v="1.0937160298197199"/>
    <n v="1.96039605280914"/>
    <n v="3"/>
    <s v="Airport Security AnalysisExtra Bag CheckTotal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1"/>
    <x v="4"/>
    <x v="1"/>
    <x v="0"/>
    <n v="77.3148412503201"/>
    <n v="2E+20"/>
    <n v="34.956332863877797"/>
    <n v="114.492334115465"/>
    <n v="3"/>
    <s v="Airport Security AnalysisExtra Bag CheckTotal Time Per EntityProcess"/>
    <n v="4"/>
    <n v="68.250516158233097"/>
    <n v="10.571888918538377"/>
    <n v="0.95"/>
    <n v="16.822234414336116"/>
    <n v="58.173536773405097"/>
    <n v="77.448053481044795"/>
    <n v="29.2733866500859"/>
    <n v="114.492334115465"/>
    <n v="3"/>
    <n v="16.822234414336116"/>
    <n v="4"/>
    <n v="1"/>
  </r>
  <r>
    <x v="0"/>
    <s v="2023-06-19 11:25:12"/>
    <n v="1"/>
    <x v="4"/>
    <x v="2"/>
    <x v="0"/>
    <n v="1.4491618029714599"/>
    <n v="2E+20"/>
    <n v="1.0937160298197199"/>
    <n v="1.96039605280914"/>
    <n v="3"/>
    <s v="Airport Security AnalysisExtra Bag CheckVA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1"/>
    <x v="4"/>
    <x v="3"/>
    <x v="0"/>
    <n v="7.2458090148572998"/>
    <n v="2E+20"/>
    <n v="5.4685801490985897"/>
    <n v="9.8019802640457101"/>
    <n v="3"/>
    <s v="Airport Security AnalysisExtra Bag CheckVA Time Per EntityProcess"/>
    <n v="4"/>
    <n v="11.138493978141318"/>
    <n v="5.3239264069931878"/>
    <n v="0.95"/>
    <n v="8.4715549617689181"/>
    <n v="7.2458090148572998"/>
    <n v="18.983340823406301"/>
    <n v="2.3005982099159601"/>
    <n v="20.9267981445186"/>
    <n v="3"/>
    <n v="8.4715549617689181"/>
    <n v="4"/>
    <n v="1"/>
  </r>
  <r>
    <x v="0"/>
    <s v="2023-06-19 11:25:12"/>
    <n v="1"/>
    <x v="4"/>
    <x v="4"/>
    <x v="0"/>
    <n v="0"/>
    <n v="2E+20"/>
    <n v="0"/>
    <n v="0"/>
    <n v="3"/>
    <s v="Airport Security AnalysisExtra Bag CheckWait Cost Per EntityProcess"/>
    <n v="4"/>
    <n v="0"/>
    <n v="0"/>
    <n v="0.95"/>
    <n v="0"/>
    <n v="0"/>
    <n v="0"/>
    <n v="0"/>
    <n v="0"/>
    <n v="3"/>
    <n v="0"/>
    <n v="4"/>
    <n v="1"/>
  </r>
  <r>
    <x v="0"/>
    <s v="2023-06-19 11:25:12"/>
    <n v="1"/>
    <x v="4"/>
    <x v="5"/>
    <x v="0"/>
    <n v="70.069032235462799"/>
    <n v="2E+20"/>
    <n v="29.487752714779202"/>
    <n v="108.025467484038"/>
    <n v="3"/>
    <s v="Airport Security AnalysisExtra Bag CheckWait Time Per EntityProcess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2"/>
    <x v="4"/>
    <x v="0"/>
    <x v="0"/>
    <n v="1.7297044831521899"/>
    <n v="2E+20"/>
    <n v="0.51178070436281997"/>
    <n v="3.2056308383301002"/>
    <n v="4"/>
    <s v="Airport Security AnalysisExtra Bag CheckTotal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2"/>
    <x v="4"/>
    <x v="1"/>
    <x v="0"/>
    <n v="77.448053481044795"/>
    <n v="2E+20"/>
    <n v="46.795830148676899"/>
    <n v="112.012218693984"/>
    <n v="4"/>
    <s v="Airport Security AnalysisExtra Bag CheckTotal Time Per EntityProcess"/>
    <n v="4"/>
    <n v="68.250516158233097"/>
    <n v="10.571888918538377"/>
    <n v="0.95"/>
    <n v="16.822234414336116"/>
    <n v="58.173536773405097"/>
    <n v="77.448053481044795"/>
    <n v="29.2733866500859"/>
    <n v="114.492334115465"/>
    <n v="3"/>
    <n v="16.822234414336116"/>
    <n v="4"/>
    <n v="1"/>
  </r>
  <r>
    <x v="0"/>
    <s v="2023-06-19 11:25:12"/>
    <n v="2"/>
    <x v="4"/>
    <x v="2"/>
    <x v="0"/>
    <n v="1.7297044831521899"/>
    <n v="2E+20"/>
    <n v="0.51178070436281997"/>
    <n v="3.2056308383301002"/>
    <n v="4"/>
    <s v="Airport Security AnalysisExtra Bag CheckVA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2"/>
    <x v="4"/>
    <x v="3"/>
    <x v="0"/>
    <n v="8.6485224157609508"/>
    <n v="2E+20"/>
    <n v="2.5589035218140999"/>
    <n v="16.028154191650501"/>
    <n v="4"/>
    <s v="Airport Security AnalysisExtra Bag CheckVA Time Per EntityProcess"/>
    <n v="4"/>
    <n v="11.138493978141318"/>
    <n v="5.3239264069931878"/>
    <n v="0.95"/>
    <n v="8.4715549617689181"/>
    <n v="7.2458090148572998"/>
    <n v="18.983340823406301"/>
    <n v="2.3005982099159601"/>
    <n v="20.9267981445186"/>
    <n v="3"/>
    <n v="8.4715549617689181"/>
    <n v="4"/>
    <n v="1"/>
  </r>
  <r>
    <x v="0"/>
    <s v="2023-06-19 11:25:12"/>
    <n v="2"/>
    <x v="4"/>
    <x v="4"/>
    <x v="0"/>
    <n v="0"/>
    <n v="2E+20"/>
    <n v="0"/>
    <n v="0"/>
    <n v="4"/>
    <s v="Airport Security AnalysisExtra Bag CheckWait Cost Per EntityProcess"/>
    <n v="4"/>
    <n v="0"/>
    <n v="0"/>
    <n v="0.95"/>
    <n v="0"/>
    <n v="0"/>
    <n v="0"/>
    <n v="0"/>
    <n v="0"/>
    <n v="3"/>
    <n v="0"/>
    <n v="4"/>
    <n v="1"/>
  </r>
  <r>
    <x v="0"/>
    <s v="2023-06-19 11:25:12"/>
    <n v="2"/>
    <x v="4"/>
    <x v="5"/>
    <x v="0"/>
    <n v="68.799531065283801"/>
    <n v="2E+20"/>
    <n v="42.7108956408889"/>
    <n v="109.45331517216999"/>
    <n v="4"/>
    <s v="Airport Security AnalysisExtra Bag CheckWait Time Per EntityProcess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3"/>
    <x v="4"/>
    <x v="0"/>
    <x v="0"/>
    <n v="3.7966681646812499"/>
    <n v="2E+20"/>
    <n v="3.4099664379337402"/>
    <n v="4.1853596289037203"/>
    <n v="3"/>
    <s v="Airport Security AnalysisExtra Bag CheckTotal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3"/>
    <x v="4"/>
    <x v="1"/>
    <x v="0"/>
    <n v="60.065633128162403"/>
    <n v="2E+20"/>
    <n v="42.693841251043601"/>
    <n v="77.470063494270505"/>
    <n v="3"/>
    <s v="Airport Security AnalysisExtra Bag CheckTotal Time Per EntityProcess"/>
    <n v="4"/>
    <n v="68.250516158233097"/>
    <n v="10.571888918538377"/>
    <n v="0.95"/>
    <n v="16.822234414336116"/>
    <n v="58.173536773405097"/>
    <n v="77.448053481044795"/>
    <n v="29.2733866500859"/>
    <n v="114.492334115465"/>
    <n v="3"/>
    <n v="16.822234414336116"/>
    <n v="4"/>
    <n v="1"/>
  </r>
  <r>
    <x v="0"/>
    <s v="2023-06-19 11:25:12"/>
    <n v="3"/>
    <x v="4"/>
    <x v="2"/>
    <x v="0"/>
    <n v="3.7966681646812499"/>
    <n v="2E+20"/>
    <n v="3.4099664379337402"/>
    <n v="4.1853596289037203"/>
    <n v="3"/>
    <s v="Airport Security AnalysisExtra Bag CheckVA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3"/>
    <x v="4"/>
    <x v="3"/>
    <x v="0"/>
    <n v="18.983340823406301"/>
    <n v="2E+20"/>
    <n v="17.049832189668699"/>
    <n v="20.9267981445186"/>
    <n v="3"/>
    <s v="Airport Security AnalysisExtra Bag CheckVA Time Per EntityProcess"/>
    <n v="4"/>
    <n v="11.138493978141318"/>
    <n v="5.3239264069931878"/>
    <n v="0.95"/>
    <n v="8.4715549617689181"/>
    <n v="7.2458090148572998"/>
    <n v="18.983340823406301"/>
    <n v="2.3005982099159601"/>
    <n v="20.9267981445186"/>
    <n v="3"/>
    <n v="8.4715549617689181"/>
    <n v="4"/>
    <n v="1"/>
  </r>
  <r>
    <x v="0"/>
    <s v="2023-06-19 11:25:12"/>
    <n v="3"/>
    <x v="4"/>
    <x v="4"/>
    <x v="0"/>
    <n v="0"/>
    <n v="2E+20"/>
    <n v="0"/>
    <n v="0"/>
    <n v="3"/>
    <s v="Airport Security AnalysisExtra Bag CheckWait Cost Per EntityProcess"/>
    <n v="4"/>
    <n v="0"/>
    <n v="0"/>
    <n v="0.95"/>
    <n v="0"/>
    <n v="0"/>
    <n v="0"/>
    <n v="0"/>
    <n v="0"/>
    <n v="3"/>
    <n v="0"/>
    <n v="4"/>
    <n v="1"/>
  </r>
  <r>
    <x v="0"/>
    <s v="2023-06-19 11:25:12"/>
    <n v="3"/>
    <x v="4"/>
    <x v="5"/>
    <x v="0"/>
    <n v="41.082292304756102"/>
    <n v="2E+20"/>
    <n v="23.720449115012102"/>
    <n v="60.420231304601799"/>
    <n v="3"/>
    <s v="Airport Security AnalysisExtra Bag CheckWait Time Per EntityProcess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4"/>
    <x v="4"/>
    <x v="0"/>
    <x v="0"/>
    <n v="1.9352607317081401"/>
    <n v="2E+20"/>
    <n v="0.460119641983192"/>
    <n v="3.4104018214331"/>
    <n v="2"/>
    <s v="Airport Security AnalysisExtra Bag CheckTotal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4"/>
    <x v="4"/>
    <x v="1"/>
    <x v="0"/>
    <n v="58.173536773405097"/>
    <n v="2E+20"/>
    <n v="29.2733866500859"/>
    <n v="87.073686896724396"/>
    <n v="2"/>
    <s v="Airport Security AnalysisExtra Bag CheckTotal Time Per EntityProcess"/>
    <n v="4"/>
    <n v="68.250516158233097"/>
    <n v="10.571888918538377"/>
    <n v="0.95"/>
    <n v="16.822234414336116"/>
    <n v="58.173536773405097"/>
    <n v="77.448053481044795"/>
    <n v="29.2733866500859"/>
    <n v="114.492334115465"/>
    <n v="3"/>
    <n v="16.822234414336116"/>
    <n v="4"/>
    <n v="1"/>
  </r>
  <r>
    <x v="0"/>
    <s v="2023-06-19 11:25:12"/>
    <n v="4"/>
    <x v="4"/>
    <x v="2"/>
    <x v="0"/>
    <n v="1.9352607317081401"/>
    <n v="2E+20"/>
    <n v="0.460119641983192"/>
    <n v="3.4104018214331"/>
    <n v="2"/>
    <s v="Airport Security AnalysisExtra Bag CheckVA Cost Per EntityProcess"/>
    <n v="4"/>
    <n v="2.2276987956282599"/>
    <n v="1.0647852813986325"/>
    <n v="0.95"/>
    <n v="1.6943109923537756"/>
    <n v="1.4491618029714599"/>
    <n v="3.7966681646812499"/>
    <n v="0.460119641983192"/>
    <n v="4.1853596289037203"/>
    <n v="3"/>
    <n v="1.6943109923537756"/>
    <n v="4"/>
    <n v="1"/>
  </r>
  <r>
    <x v="0"/>
    <s v="2023-06-19 11:25:12"/>
    <n v="4"/>
    <x v="4"/>
    <x v="3"/>
    <x v="0"/>
    <n v="9.6763036585407196"/>
    <n v="2E+20"/>
    <n v="2.3005982099159601"/>
    <n v="17.0520091071655"/>
    <n v="2"/>
    <s v="Airport Security AnalysisExtra Bag CheckVA Time Per EntityProcess"/>
    <n v="4"/>
    <n v="11.138493978141318"/>
    <n v="5.3239264069931878"/>
    <n v="0.95"/>
    <n v="8.4715549617689181"/>
    <n v="7.2458090148572998"/>
    <n v="18.983340823406301"/>
    <n v="2.3005982099159601"/>
    <n v="20.9267981445186"/>
    <n v="3"/>
    <n v="8.4715549617689181"/>
    <n v="4"/>
    <n v="1"/>
  </r>
  <r>
    <x v="0"/>
    <s v="2023-06-19 11:25:12"/>
    <n v="4"/>
    <x v="4"/>
    <x v="4"/>
    <x v="0"/>
    <n v="0"/>
    <n v="2E+20"/>
    <n v="0"/>
    <n v="0"/>
    <n v="2"/>
    <s v="Airport Security AnalysisExtra Bag CheckWait Cost Per EntityProcess"/>
    <n v="4"/>
    <n v="0"/>
    <n v="0"/>
    <n v="0.95"/>
    <n v="0"/>
    <n v="0"/>
    <n v="0"/>
    <n v="0"/>
    <n v="0"/>
    <n v="3"/>
    <n v="0"/>
    <n v="4"/>
    <n v="1"/>
  </r>
  <r>
    <x v="0"/>
    <s v="2023-06-19 11:25:12"/>
    <n v="4"/>
    <x v="4"/>
    <x v="5"/>
    <x v="0"/>
    <n v="48.4972331148644"/>
    <n v="2E+20"/>
    <n v="12.221377542920401"/>
    <n v="84.773088686808507"/>
    <n v="2"/>
    <s v="Airport Security AnalysisExtra Bag CheckWait Time Per EntityProcess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1"/>
    <x v="5"/>
    <x v="6"/>
    <x v="1"/>
    <n v="0"/>
    <n v="2E+20"/>
    <n v="0"/>
    <n v="0"/>
    <n v="3"/>
    <s v="Airport Security AnalysisExtra Bag Check.QueueWaiting CostQueue"/>
    <n v="4"/>
    <n v="0"/>
    <n v="0"/>
    <n v="0.95"/>
    <n v="0"/>
    <n v="0"/>
    <n v="0"/>
    <n v="0"/>
    <n v="0"/>
    <n v="3"/>
    <n v="0"/>
    <n v="4"/>
    <n v="1"/>
  </r>
  <r>
    <x v="0"/>
    <s v="2023-06-19 11:25:12"/>
    <n v="1"/>
    <x v="5"/>
    <x v="7"/>
    <x v="1"/>
    <n v="70.069032235462799"/>
    <n v="2E+20"/>
    <n v="29.487752714779202"/>
    <n v="108.025467484038"/>
    <n v="3"/>
    <s v="Airport Security AnalysisExtra Bag Check.QueueWaiting TimeQueue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2"/>
    <x v="5"/>
    <x v="6"/>
    <x v="1"/>
    <n v="0"/>
    <n v="2E+20"/>
    <n v="0"/>
    <n v="0"/>
    <n v="4"/>
    <s v="Airport Security AnalysisExtra Bag Check.QueueWaiting CostQueue"/>
    <n v="4"/>
    <n v="0"/>
    <n v="0"/>
    <n v="0.95"/>
    <n v="0"/>
    <n v="0"/>
    <n v="0"/>
    <n v="0"/>
    <n v="0"/>
    <n v="3"/>
    <n v="0"/>
    <n v="4"/>
    <n v="1"/>
  </r>
  <r>
    <x v="0"/>
    <s v="2023-06-19 11:25:12"/>
    <n v="2"/>
    <x v="5"/>
    <x v="7"/>
    <x v="1"/>
    <n v="68.799531065283801"/>
    <n v="2E+20"/>
    <n v="42.7108956408889"/>
    <n v="109.45331517216999"/>
    <n v="4"/>
    <s v="Airport Security AnalysisExtra Bag Check.QueueWaiting TimeQueue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3"/>
    <x v="5"/>
    <x v="6"/>
    <x v="1"/>
    <n v="0"/>
    <n v="2E+20"/>
    <n v="0"/>
    <n v="0"/>
    <n v="3"/>
    <s v="Airport Security AnalysisExtra Bag Check.QueueWaiting CostQueue"/>
    <n v="4"/>
    <n v="0"/>
    <n v="0"/>
    <n v="0.95"/>
    <n v="0"/>
    <n v="0"/>
    <n v="0"/>
    <n v="0"/>
    <n v="0"/>
    <n v="3"/>
    <n v="0"/>
    <n v="4"/>
    <n v="1"/>
  </r>
  <r>
    <x v="0"/>
    <s v="2023-06-19 11:25:12"/>
    <n v="3"/>
    <x v="5"/>
    <x v="7"/>
    <x v="1"/>
    <n v="41.082292304756102"/>
    <n v="2E+20"/>
    <n v="23.720449115012102"/>
    <n v="60.420231304601799"/>
    <n v="3"/>
    <s v="Airport Security AnalysisExtra Bag Check.QueueWaiting TimeQueue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4"/>
    <x v="5"/>
    <x v="6"/>
    <x v="1"/>
    <n v="0"/>
    <n v="2E+20"/>
    <n v="0"/>
    <n v="0"/>
    <n v="2"/>
    <s v="Airport Security AnalysisExtra Bag Check.QueueWaiting CostQueue"/>
    <n v="4"/>
    <n v="0"/>
    <n v="0"/>
    <n v="0.95"/>
    <n v="0"/>
    <n v="0"/>
    <n v="0"/>
    <n v="0"/>
    <n v="0"/>
    <n v="3"/>
    <n v="0"/>
    <n v="4"/>
    <n v="1"/>
  </r>
  <r>
    <x v="0"/>
    <s v="2023-06-19 11:25:12"/>
    <n v="4"/>
    <x v="5"/>
    <x v="7"/>
    <x v="1"/>
    <n v="48.4972331148644"/>
    <n v="2E+20"/>
    <n v="12.221377542920401"/>
    <n v="84.773088686808507"/>
    <n v="2"/>
    <s v="Airport Security AnalysisExtra Bag Check.QueueWaiting TimeQueue"/>
    <n v="4"/>
    <n v="57.11202218009177"/>
    <n v="14.556199183750103"/>
    <n v="0.95"/>
    <n v="23.162161155649617"/>
    <n v="41.082292304756102"/>
    <n v="70.069032235462799"/>
    <n v="12.221377542920401"/>
    <n v="109.45331517216999"/>
    <n v="3"/>
    <n v="23.162161155649617"/>
    <n v="4"/>
    <n v="1"/>
  </r>
  <r>
    <x v="0"/>
    <s v="2023-06-19 11:25:12"/>
    <n v="1"/>
    <x v="6"/>
    <x v="0"/>
    <x v="0"/>
    <n v="0.75206298409691397"/>
    <n v="2E+20"/>
    <n v="0.38441413457674101"/>
    <n v="1.30433954344338"/>
    <n v="166"/>
    <s v="Airport Security AnalysisXray Baggage CheckTotal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1"/>
    <x v="6"/>
    <x v="1"/>
    <x v="0"/>
    <n v="65.835637096916699"/>
    <n v="2E+20"/>
    <n v="2.3495685018580499"/>
    <n v="126.19575507741401"/>
    <n v="166"/>
    <s v="Airport Security AnalysisXray Baggage CheckTotal Time Per EntityProcess"/>
    <n v="4"/>
    <n v="62.92202224996587"/>
    <n v="13.670044827940533"/>
    <n v="0.95"/>
    <n v="21.752091827871002"/>
    <n v="49.248742246025898"/>
    <n v="80.696963583649506"/>
    <n v="2.3495685018580499"/>
    <n v="135.44241264253401"/>
    <n v="172.75"/>
    <n v="21.752091827871002"/>
    <n v="4"/>
    <n v="1"/>
  </r>
  <r>
    <x v="0"/>
    <s v="2023-06-19 11:25:12"/>
    <n v="1"/>
    <x v="6"/>
    <x v="2"/>
    <x v="0"/>
    <n v="0.75206298409691397"/>
    <n v="2E+20"/>
    <n v="0.38441413457674101"/>
    <n v="1.30433954344338"/>
    <n v="166"/>
    <s v="Airport Security AnalysisXray Baggage CheckVA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1"/>
    <x v="6"/>
    <x v="3"/>
    <x v="0"/>
    <n v="3.7603149204845701"/>
    <n v="2E+20"/>
    <n v="1.92207067288371"/>
    <n v="6.5216977172169104"/>
    <n v="166"/>
    <s v="Airport Security AnalysisXray Baggage CheckVA Time Per EntityProcess"/>
    <n v="4"/>
    <n v="3.6831649499214323"/>
    <n v="5.2993654728054486E-2"/>
    <n v="0.95"/>
    <n v="8.4324730346388752E-2"/>
    <n v="3.6466211189205802"/>
    <n v="3.7603149204845701"/>
    <n v="1.6871057206376201"/>
    <n v="6.5882186738570603"/>
    <n v="172.75"/>
    <n v="8.4324730346388752E-2"/>
    <n v="4"/>
    <n v="1"/>
  </r>
  <r>
    <x v="0"/>
    <s v="2023-06-19 11:25:12"/>
    <n v="1"/>
    <x v="6"/>
    <x v="4"/>
    <x v="0"/>
    <n v="0"/>
    <n v="2E+20"/>
    <n v="0"/>
    <n v="0"/>
    <n v="166"/>
    <s v="Airport Security AnalysisXray Baggage CheckWait Cost Per EntityProcess"/>
    <n v="4"/>
    <n v="0"/>
    <n v="0"/>
    <n v="0.95"/>
    <n v="0"/>
    <n v="0"/>
    <n v="0"/>
    <n v="0"/>
    <n v="0"/>
    <n v="172.75"/>
    <n v="0"/>
    <n v="4"/>
    <n v="1"/>
  </r>
  <r>
    <x v="0"/>
    <s v="2023-06-19 11:25:12"/>
    <n v="1"/>
    <x v="6"/>
    <x v="5"/>
    <x v="0"/>
    <n v="62.075322176432202"/>
    <n v="2E+20"/>
    <n v="0"/>
    <n v="123.74407368443499"/>
    <n v="166"/>
    <s v="Airport Security AnalysisXray Baggage CheckWait Time Per EntityProcess"/>
    <n v="4"/>
    <n v="59.238857300044451"/>
    <n v="13.66537017752918"/>
    <n v="0.95"/>
    <n v="21.744653415905951"/>
    <n v="45.602121127105399"/>
    <n v="77.0466113697141"/>
    <n v="0"/>
    <n v="131.704152533165"/>
    <n v="172.75"/>
    <n v="21.744653415905951"/>
    <n v="4"/>
    <n v="1"/>
  </r>
  <r>
    <x v="0"/>
    <s v="2023-06-19 11:25:12"/>
    <n v="2"/>
    <x v="6"/>
    <x v="0"/>
    <x v="0"/>
    <n v="0.73007044278705802"/>
    <n v="2E+20"/>
    <n v="0.34163449516916"/>
    <n v="1.2706092998162499"/>
    <n v="178"/>
    <s v="Airport Security AnalysisXray Baggage CheckTotal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2"/>
    <x v="6"/>
    <x v="1"/>
    <x v="0"/>
    <n v="80.696963583649506"/>
    <n v="2E+20"/>
    <n v="5.9372084273150501"/>
    <n v="135.44241264253401"/>
    <n v="178"/>
    <s v="Airport Security AnalysisXray Baggage CheckTotal Time Per EntityProcess"/>
    <n v="4"/>
    <n v="62.92202224996587"/>
    <n v="13.670044827940533"/>
    <n v="0.95"/>
    <n v="21.752091827871002"/>
    <n v="49.248742246025898"/>
    <n v="80.696963583649506"/>
    <n v="2.3495685018580499"/>
    <n v="135.44241264253401"/>
    <n v="172.75"/>
    <n v="21.752091827871002"/>
    <n v="4"/>
    <n v="1"/>
  </r>
  <r>
    <x v="0"/>
    <s v="2023-06-19 11:25:12"/>
    <n v="2"/>
    <x v="6"/>
    <x v="2"/>
    <x v="0"/>
    <n v="0.73007044278705802"/>
    <n v="2E+20"/>
    <n v="0.34163449516916"/>
    <n v="1.2706092998162499"/>
    <n v="178"/>
    <s v="Airport Security AnalysisXray Baggage CheckVA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2"/>
    <x v="6"/>
    <x v="3"/>
    <x v="0"/>
    <n v="3.6503522139352902"/>
    <n v="2E+20"/>
    <n v="1.7081724758457999"/>
    <n v="6.3530464990812403"/>
    <n v="178"/>
    <s v="Airport Security AnalysisXray Baggage CheckVA Time Per EntityProcess"/>
    <n v="4"/>
    <n v="3.6831649499214323"/>
    <n v="5.2993654728054486E-2"/>
    <n v="0.95"/>
    <n v="8.4324730346388752E-2"/>
    <n v="3.6466211189205802"/>
    <n v="3.7603149204845701"/>
    <n v="1.6871057206376201"/>
    <n v="6.5882186738570603"/>
    <n v="172.75"/>
    <n v="8.4324730346388752E-2"/>
    <n v="4"/>
    <n v="1"/>
  </r>
  <r>
    <x v="0"/>
    <s v="2023-06-19 11:25:12"/>
    <n v="2"/>
    <x v="6"/>
    <x v="4"/>
    <x v="0"/>
    <n v="0"/>
    <n v="2E+20"/>
    <n v="0"/>
    <n v="0"/>
    <n v="178"/>
    <s v="Airport Security AnalysisXray Baggage CheckWait Cost Per EntityProcess"/>
    <n v="4"/>
    <n v="0"/>
    <n v="0"/>
    <n v="0.95"/>
    <n v="0"/>
    <n v="0"/>
    <n v="0"/>
    <n v="0"/>
    <n v="0"/>
    <n v="172.75"/>
    <n v="0"/>
    <n v="4"/>
    <n v="1"/>
  </r>
  <r>
    <x v="0"/>
    <s v="2023-06-19 11:25:12"/>
    <n v="2"/>
    <x v="6"/>
    <x v="5"/>
    <x v="0"/>
    <n v="77.0466113697141"/>
    <n v="2E+20"/>
    <n v="0"/>
    <n v="131.704152533165"/>
    <n v="178"/>
    <s v="Airport Security AnalysisXray Baggage CheckWait Time Per EntityProcess"/>
    <n v="4"/>
    <n v="59.238857300044451"/>
    <n v="13.66537017752918"/>
    <n v="0.95"/>
    <n v="21.744653415905951"/>
    <n v="45.602121127105399"/>
    <n v="77.0466113697141"/>
    <n v="0"/>
    <n v="131.704152533165"/>
    <n v="172.75"/>
    <n v="21.744653415905951"/>
    <n v="4"/>
    <n v="1"/>
  </r>
  <r>
    <x v="0"/>
    <s v="2023-06-19 11:25:12"/>
    <n v="3"/>
    <x v="6"/>
    <x v="0"/>
    <x v="0"/>
    <n v="0.73507430926905704"/>
    <n v="2E+20"/>
    <n v="0.337421144127524"/>
    <n v="1.3176437347714101"/>
    <n v="179"/>
    <s v="Airport Security AnalysisXray Baggage CheckTotal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3"/>
    <x v="6"/>
    <x v="1"/>
    <x v="0"/>
    <n v="55.9067460732714"/>
    <n v="2E+20"/>
    <n v="2.7464005206832498"/>
    <n v="100.130534454841"/>
    <n v="179"/>
    <s v="Airport Security AnalysisXray Baggage CheckTotal Time Per EntityProcess"/>
    <n v="4"/>
    <n v="62.92202224996587"/>
    <n v="13.670044827940533"/>
    <n v="0.95"/>
    <n v="21.752091827871002"/>
    <n v="49.248742246025898"/>
    <n v="80.696963583649506"/>
    <n v="2.3495685018580499"/>
    <n v="135.44241264253401"/>
    <n v="172.75"/>
    <n v="21.752091827871002"/>
    <n v="4"/>
    <n v="1"/>
  </r>
  <r>
    <x v="0"/>
    <s v="2023-06-19 11:25:12"/>
    <n v="3"/>
    <x v="6"/>
    <x v="2"/>
    <x v="0"/>
    <n v="0.73507430926905704"/>
    <n v="2E+20"/>
    <n v="0.337421144127524"/>
    <n v="1.3176437347714101"/>
    <n v="179"/>
    <s v="Airport Security AnalysisXray Baggage CheckVA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3"/>
    <x v="6"/>
    <x v="3"/>
    <x v="0"/>
    <n v="3.6753715463452901"/>
    <n v="2E+20"/>
    <n v="1.6871057206376201"/>
    <n v="6.5882186738570603"/>
    <n v="179"/>
    <s v="Airport Security AnalysisXray Baggage CheckVA Time Per EntityProcess"/>
    <n v="4"/>
    <n v="3.6831649499214323"/>
    <n v="5.2993654728054486E-2"/>
    <n v="0.95"/>
    <n v="8.4324730346388752E-2"/>
    <n v="3.6466211189205802"/>
    <n v="3.7603149204845701"/>
    <n v="1.6871057206376201"/>
    <n v="6.5882186738570603"/>
    <n v="172.75"/>
    <n v="8.4324730346388752E-2"/>
    <n v="4"/>
    <n v="1"/>
  </r>
  <r>
    <x v="0"/>
    <s v="2023-06-19 11:25:12"/>
    <n v="3"/>
    <x v="6"/>
    <x v="4"/>
    <x v="0"/>
    <n v="0"/>
    <n v="2E+20"/>
    <n v="0"/>
    <n v="0"/>
    <n v="179"/>
    <s v="Airport Security AnalysisXray Baggage CheckWait Cost Per EntityProcess"/>
    <n v="4"/>
    <n v="0"/>
    <n v="0"/>
    <n v="0.95"/>
    <n v="0"/>
    <n v="0"/>
    <n v="0"/>
    <n v="0"/>
    <n v="0"/>
    <n v="172.75"/>
    <n v="0"/>
    <n v="4"/>
    <n v="1"/>
  </r>
  <r>
    <x v="0"/>
    <s v="2023-06-19 11:25:12"/>
    <n v="3"/>
    <x v="6"/>
    <x v="5"/>
    <x v="0"/>
    <n v="52.231374526926103"/>
    <n v="2E+20"/>
    <n v="8.7027795286949997E-2"/>
    <n v="96.965837152146406"/>
    <n v="179"/>
    <s v="Airport Security AnalysisXray Baggage CheckWait Time Per EntityProcess"/>
    <n v="4"/>
    <n v="59.238857300044451"/>
    <n v="13.66537017752918"/>
    <n v="0.95"/>
    <n v="21.744653415905951"/>
    <n v="45.602121127105399"/>
    <n v="77.0466113697141"/>
    <n v="0"/>
    <n v="131.704152533165"/>
    <n v="172.75"/>
    <n v="21.744653415905951"/>
    <n v="4"/>
    <n v="1"/>
  </r>
  <r>
    <x v="0"/>
    <s v="2023-06-19 11:25:12"/>
    <n v="4"/>
    <x v="6"/>
    <x v="0"/>
    <x v="0"/>
    <n v="0.72932422378411599"/>
    <n v="2E+20"/>
    <n v="0.3381454448672"/>
    <n v="1.2058100835262"/>
    <n v="168"/>
    <s v="Airport Security AnalysisXray Baggage CheckTotal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4"/>
    <x v="6"/>
    <x v="1"/>
    <x v="0"/>
    <n v="49.248742246025898"/>
    <n v="2E+20"/>
    <n v="4.2916867097420202"/>
    <n v="88.236309500409007"/>
    <n v="168"/>
    <s v="Airport Security AnalysisXray Baggage CheckTotal Time Per EntityProcess"/>
    <n v="4"/>
    <n v="62.92202224996587"/>
    <n v="13.670044827940533"/>
    <n v="0.95"/>
    <n v="21.752091827871002"/>
    <n v="49.248742246025898"/>
    <n v="80.696963583649506"/>
    <n v="2.3495685018580499"/>
    <n v="135.44241264253401"/>
    <n v="172.75"/>
    <n v="21.752091827871002"/>
    <n v="4"/>
    <n v="1"/>
  </r>
  <r>
    <x v="0"/>
    <s v="2023-06-19 11:25:12"/>
    <n v="4"/>
    <x v="6"/>
    <x v="2"/>
    <x v="0"/>
    <n v="0.72932422378411599"/>
    <n v="2E+20"/>
    <n v="0.3381454448672"/>
    <n v="1.2058100835262"/>
    <n v="168"/>
    <s v="Airport Security AnalysisXray Baggage CheckVA Cost Per EntityProcess"/>
    <n v="4"/>
    <n v="0.73663298998428628"/>
    <n v="1.0598730945610939E-2"/>
    <n v="0.95"/>
    <n v="1.6864946069277815E-2"/>
    <n v="0.72932422378411599"/>
    <n v="0.75206298409691397"/>
    <n v="0.337421144127524"/>
    <n v="1.3176437347714101"/>
    <n v="172.75"/>
    <n v="1.6864946069277815E-2"/>
    <n v="4"/>
    <n v="1"/>
  </r>
  <r>
    <x v="0"/>
    <s v="2023-06-19 11:25:12"/>
    <n v="4"/>
    <x v="6"/>
    <x v="3"/>
    <x v="0"/>
    <n v="3.6466211189205802"/>
    <n v="2E+20"/>
    <n v="1.6907272243360001"/>
    <n v="6.0290504176309998"/>
    <n v="168"/>
    <s v="Airport Security AnalysisXray Baggage CheckVA Time Per EntityProcess"/>
    <n v="4"/>
    <n v="3.6831649499214323"/>
    <n v="5.2993654728054486E-2"/>
    <n v="0.95"/>
    <n v="8.4324730346388752E-2"/>
    <n v="3.6466211189205802"/>
    <n v="3.7603149204845701"/>
    <n v="1.6871057206376201"/>
    <n v="6.5882186738570603"/>
    <n v="172.75"/>
    <n v="8.4324730346388752E-2"/>
    <n v="4"/>
    <n v="1"/>
  </r>
  <r>
    <x v="0"/>
    <s v="2023-06-19 11:25:12"/>
    <n v="4"/>
    <x v="6"/>
    <x v="4"/>
    <x v="0"/>
    <n v="0"/>
    <n v="2E+20"/>
    <n v="0"/>
    <n v="0"/>
    <n v="168"/>
    <s v="Airport Security AnalysisXray Baggage CheckWait Cost Per EntityProcess"/>
    <n v="4"/>
    <n v="0"/>
    <n v="0"/>
    <n v="0.95"/>
    <n v="0"/>
    <n v="0"/>
    <n v="0"/>
    <n v="0"/>
    <n v="0"/>
    <n v="172.75"/>
    <n v="0"/>
    <n v="4"/>
    <n v="1"/>
  </r>
  <r>
    <x v="0"/>
    <s v="2023-06-19 11:25:12"/>
    <n v="4"/>
    <x v="6"/>
    <x v="5"/>
    <x v="0"/>
    <n v="45.602121127105399"/>
    <n v="2E+20"/>
    <n v="0"/>
    <n v="84.764363571029307"/>
    <n v="168"/>
    <s v="Airport Security AnalysisXray Baggage CheckWait Time Per EntityProcess"/>
    <n v="4"/>
    <n v="59.238857300044451"/>
    <n v="13.66537017752918"/>
    <n v="0.95"/>
    <n v="21.744653415905951"/>
    <n v="45.602121127105399"/>
    <n v="77.0466113697141"/>
    <n v="0"/>
    <n v="131.704152533165"/>
    <n v="172.75"/>
    <n v="21.744653415905951"/>
    <n v="4"/>
    <n v="1"/>
  </r>
  <r>
    <x v="0"/>
    <s v="2023-06-19 11:25:12"/>
    <n v="1"/>
    <x v="7"/>
    <x v="6"/>
    <x v="1"/>
    <n v="0"/>
    <n v="2E+20"/>
    <n v="0"/>
    <n v="0"/>
    <n v="168"/>
    <s v="Airport Security AnalysisXray Baggage Check.QueueWaiting CostQueue"/>
    <n v="4"/>
    <n v="0"/>
    <n v="0"/>
    <n v="0.95"/>
    <n v="0"/>
    <n v="0"/>
    <n v="0"/>
    <n v="0"/>
    <n v="0"/>
    <n v="173.75"/>
    <n v="0"/>
    <n v="4"/>
    <n v="1"/>
  </r>
  <r>
    <x v="0"/>
    <s v="2023-06-19 11:25:12"/>
    <n v="1"/>
    <x v="7"/>
    <x v="7"/>
    <x v="1"/>
    <n v="62.813098326201697"/>
    <n v="2E+20"/>
    <n v="0"/>
    <n v="124.299525616992"/>
    <n v="168"/>
    <s v="Airport Security AnalysisXray Baggage Check.QueueWaiting TimeQueue"/>
    <n v="4"/>
    <n v="59.580941993213607"/>
    <n v="13.992188557495338"/>
    <n v="0.95"/>
    <n v="22.264694388817006"/>
    <n v="45.602121127105399"/>
    <n v="77.677173992621206"/>
    <n v="0"/>
    <n v="133.96647926071901"/>
    <n v="173.75"/>
    <n v="22.264694388817006"/>
    <n v="4"/>
    <n v="1"/>
  </r>
  <r>
    <x v="0"/>
    <s v="2023-06-19 11:25:12"/>
    <n v="2"/>
    <x v="7"/>
    <x v="6"/>
    <x v="1"/>
    <n v="0"/>
    <n v="2E+20"/>
    <n v="0"/>
    <n v="0"/>
    <n v="180"/>
    <s v="Airport Security AnalysisXray Baggage Check.QueueWaiting CostQueue"/>
    <n v="4"/>
    <n v="0"/>
    <n v="0"/>
    <n v="0.95"/>
    <n v="0"/>
    <n v="0"/>
    <n v="0"/>
    <n v="0"/>
    <n v="0"/>
    <n v="173.75"/>
    <n v="0"/>
    <n v="4"/>
    <n v="1"/>
  </r>
  <r>
    <x v="0"/>
    <s v="2023-06-19 11:25:12"/>
    <n v="2"/>
    <x v="7"/>
    <x v="7"/>
    <x v="1"/>
    <n v="77.677173992621206"/>
    <n v="2E+20"/>
    <n v="0"/>
    <n v="133.96647926071901"/>
    <n v="180"/>
    <s v="Airport Security AnalysisXray Baggage Check.QueueWaiting TimeQueue"/>
    <n v="4"/>
    <n v="59.580941993213607"/>
    <n v="13.992188557495338"/>
    <n v="0.95"/>
    <n v="22.264694388817006"/>
    <n v="45.602121127105399"/>
    <n v="77.677173992621206"/>
    <n v="0"/>
    <n v="133.96647926071901"/>
    <n v="173.75"/>
    <n v="22.264694388817006"/>
    <n v="4"/>
    <n v="1"/>
  </r>
  <r>
    <x v="0"/>
    <s v="2023-06-19 11:25:12"/>
    <n v="3"/>
    <x v="7"/>
    <x v="6"/>
    <x v="1"/>
    <n v="0"/>
    <n v="2E+20"/>
    <n v="0"/>
    <n v="0"/>
    <n v="179"/>
    <s v="Airport Security AnalysisXray Baggage Check.QueueWaiting CostQueue"/>
    <n v="4"/>
    <n v="0"/>
    <n v="0"/>
    <n v="0.95"/>
    <n v="0"/>
    <n v="0"/>
    <n v="0"/>
    <n v="0"/>
    <n v="0"/>
    <n v="173.75"/>
    <n v="0"/>
    <n v="4"/>
    <n v="1"/>
  </r>
  <r>
    <x v="0"/>
    <s v="2023-06-19 11:25:12"/>
    <n v="3"/>
    <x v="7"/>
    <x v="7"/>
    <x v="1"/>
    <n v="52.231374526926103"/>
    <n v="2E+20"/>
    <n v="8.7027795286949997E-2"/>
    <n v="96.965837152146406"/>
    <n v="179"/>
    <s v="Airport Security AnalysisXray Baggage Check.QueueWaiting TimeQueue"/>
    <n v="4"/>
    <n v="59.580941993213607"/>
    <n v="13.992188557495338"/>
    <n v="0.95"/>
    <n v="22.264694388817006"/>
    <n v="45.602121127105399"/>
    <n v="77.677173992621206"/>
    <n v="0"/>
    <n v="133.96647926071901"/>
    <n v="173.75"/>
    <n v="22.264694388817006"/>
    <n v="4"/>
    <n v="1"/>
  </r>
  <r>
    <x v="0"/>
    <s v="2023-06-19 11:25:12"/>
    <n v="4"/>
    <x v="7"/>
    <x v="6"/>
    <x v="1"/>
    <n v="0"/>
    <n v="2E+20"/>
    <n v="0"/>
    <n v="0"/>
    <n v="168"/>
    <s v="Airport Security AnalysisXray Baggage Check.QueueWaiting CostQueue"/>
    <n v="4"/>
    <n v="0"/>
    <n v="0"/>
    <n v="0.95"/>
    <n v="0"/>
    <n v="0"/>
    <n v="0"/>
    <n v="0"/>
    <n v="0"/>
    <n v="173.75"/>
    <n v="0"/>
    <n v="4"/>
    <n v="1"/>
  </r>
  <r>
    <x v="0"/>
    <s v="2023-06-19 11:25:12"/>
    <n v="4"/>
    <x v="7"/>
    <x v="7"/>
    <x v="1"/>
    <n v="45.602121127105399"/>
    <n v="2E+20"/>
    <n v="0"/>
    <n v="84.764363571029307"/>
    <n v="168"/>
    <s v="Airport Security AnalysisXray Baggage Check.QueueWaiting TimeQueue"/>
    <n v="4"/>
    <n v="59.580941993213607"/>
    <n v="13.992188557495338"/>
    <n v="0.95"/>
    <n v="22.264694388817006"/>
    <n v="45.602121127105399"/>
    <n v="77.677173992621206"/>
    <n v="0"/>
    <n v="133.96647926071901"/>
    <n v="173.75"/>
    <n v="22.264694388817006"/>
    <n v="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">
  <r>
    <x v="0"/>
    <s v="2023-06-19 11:25:12"/>
    <n v="1"/>
    <x v="0"/>
    <x v="0"/>
    <x v="0"/>
    <n v="0"/>
    <n v="0"/>
    <s v="Airport Security AnalysisAdditional Security Check Accum VA CostAccum VA CostProcess"/>
    <n v="4"/>
    <n v="0"/>
    <n v="0"/>
    <n v="0.95"/>
    <n v="0"/>
    <n v="0"/>
    <n v="0"/>
  </r>
  <r>
    <x v="0"/>
    <s v="2023-06-19 11:25:12"/>
    <n v="1"/>
    <x v="1"/>
    <x v="1"/>
    <x v="0"/>
    <n v="87.189326445781006"/>
    <n v="0"/>
    <s v="Airport Security AnalysisAdditional Security Check Accum VA TimeAccum VA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1"/>
    <x v="2"/>
    <x v="2"/>
    <x v="0"/>
    <n v="14"/>
    <n v="0"/>
    <s v="Airport Security AnalysisAdditional Security Check Number InNumber InProcess"/>
    <n v="4"/>
    <n v="15"/>
    <n v="1.8257418583505538"/>
    <n v="0.95"/>
    <n v="2.905162715754765"/>
    <n v="13"/>
    <n v="17"/>
  </r>
  <r>
    <x v="0"/>
    <s v="2023-06-19 11:25:12"/>
    <n v="1"/>
    <x v="3"/>
    <x v="3"/>
    <x v="0"/>
    <n v="14"/>
    <n v="0"/>
    <s v="Airport Security AnalysisAdditional Security Check Number OutNumber OutProcess"/>
    <n v="4"/>
    <n v="14.5"/>
    <n v="1.9148542155126762"/>
    <n v="0.95"/>
    <n v="3.0469603616576246"/>
    <n v="12"/>
    <n v="16"/>
  </r>
  <r>
    <x v="0"/>
    <s v="2023-06-19 11:25:12"/>
    <n v="1"/>
    <x v="4"/>
    <x v="4"/>
    <x v="0"/>
    <n v="0"/>
    <n v="0"/>
    <s v="Airport Security AnalysisAdditional Security Check Total Accum CostTotal Accum CostProcess"/>
    <n v="4"/>
    <n v="0"/>
    <n v="0"/>
    <n v="0.95"/>
    <n v="0"/>
    <n v="0"/>
    <n v="0"/>
  </r>
  <r>
    <x v="0"/>
    <s v="2023-06-19 11:25:12"/>
    <n v="1"/>
    <x v="5"/>
    <x v="5"/>
    <x v="0"/>
    <n v="87.189326445781006"/>
    <n v="0"/>
    <s v="Airport Security AnalysisAdditional Security Check Total Accum TimeTotal Accum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1"/>
    <x v="6"/>
    <x v="6"/>
    <x v="1"/>
    <n v="0"/>
    <n v="0"/>
    <s v="Airport Security AnalysisAll Entities.NVACostNVA CostSystem"/>
    <n v="4"/>
    <n v="0"/>
    <n v="0"/>
    <n v="0.95"/>
    <n v="0"/>
    <n v="0"/>
    <n v="0"/>
  </r>
  <r>
    <x v="0"/>
    <s v="2023-06-19 11:25:12"/>
    <n v="1"/>
    <x v="7"/>
    <x v="7"/>
    <x v="1"/>
    <n v="0"/>
    <n v="0"/>
    <s v="Airport Security AnalysisAll Entities.OtherCostOther CostSystem"/>
    <n v="4"/>
    <n v="0"/>
    <n v="0"/>
    <n v="0.95"/>
    <n v="0"/>
    <n v="0"/>
    <n v="0"/>
  </r>
  <r>
    <x v="0"/>
    <s v="2023-06-19 11:25:12"/>
    <n v="1"/>
    <x v="8"/>
    <x v="8"/>
    <x v="1"/>
    <n v="208.490919799907"/>
    <n v="0"/>
    <s v="Airport Security AnalysisAll Entities.TotalCostTotal CostSystem"/>
    <n v="4"/>
    <n v="210.78541398558849"/>
    <n v="4.3015506850385421"/>
    <n v="0.95"/>
    <n v="6.8447270422957551"/>
    <n v="206.05792548363399"/>
    <n v="215.56959882430399"/>
  </r>
  <r>
    <x v="0"/>
    <s v="2023-06-19 11:25:12"/>
    <n v="1"/>
    <x v="9"/>
    <x v="9"/>
    <x v="1"/>
    <n v="0"/>
    <n v="0"/>
    <s v="Airport Security AnalysisAll Entities.TranCostTran CostSystem"/>
    <n v="4"/>
    <n v="0"/>
    <n v="0"/>
    <n v="0.95"/>
    <n v="0"/>
    <n v="0"/>
    <n v="0"/>
  </r>
  <r>
    <x v="0"/>
    <s v="2023-06-19 11:25:12"/>
    <n v="1"/>
    <x v="10"/>
    <x v="10"/>
    <x v="1"/>
    <n v="208.490919799907"/>
    <n v="0"/>
    <s v="Airport Security AnalysisAll Entities.VACostVA CostSystem"/>
    <n v="4"/>
    <n v="210.78541398558849"/>
    <n v="4.3015506850385421"/>
    <n v="0.95"/>
    <n v="6.8447270422957551"/>
    <n v="206.05792548363399"/>
    <n v="215.56959882430399"/>
  </r>
  <r>
    <x v="0"/>
    <s v="2023-06-19 11:25:12"/>
    <n v="1"/>
    <x v="11"/>
    <x v="11"/>
    <x v="1"/>
    <n v="0"/>
    <n v="0"/>
    <s v="Airport Security AnalysisAll Entities.WaitCostWait CostSystem"/>
    <n v="4"/>
    <n v="0"/>
    <n v="0"/>
    <n v="0.95"/>
    <n v="0"/>
    <n v="0"/>
    <n v="0"/>
  </r>
  <r>
    <x v="0"/>
    <s v="2023-06-19 11:25:12"/>
    <n v="1"/>
    <x v="12"/>
    <x v="12"/>
    <x v="1"/>
    <n v="208.490919799907"/>
    <n v="0"/>
    <s v="Airport Security AnalysisAll Resources.BusyCostBusy CostSystem"/>
    <n v="4"/>
    <n v="210.78541398558849"/>
    <n v="4.3015506850385421"/>
    <n v="0.95"/>
    <n v="6.8447270422957551"/>
    <n v="206.05792548363399"/>
    <n v="215.56959882430399"/>
  </r>
  <r>
    <x v="0"/>
    <s v="2023-06-19 11:25:12"/>
    <n v="1"/>
    <x v="13"/>
    <x v="13"/>
    <x v="1"/>
    <n v="6.0045414084739104"/>
    <n v="0"/>
    <s v="Airport Security AnalysisAll Resources.IdleCostIdle CostSystem"/>
    <n v="4"/>
    <n v="4.2300500576210318"/>
    <n v="4.2363178600656441"/>
    <n v="0.95"/>
    <n v="6.7409270608866461"/>
    <n v="0.14858336255221799"/>
    <n v="9.34402440928719"/>
  </r>
  <r>
    <x v="0"/>
    <s v="2023-06-19 11:25:12"/>
    <n v="1"/>
    <x v="14"/>
    <x v="8"/>
    <x v="1"/>
    <n v="214.49546120838099"/>
    <n v="0"/>
    <s v="Airport Security AnalysisAll Resources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1"/>
    <x v="15"/>
    <x v="14"/>
    <x v="1"/>
    <n v="0"/>
    <n v="0"/>
    <s v="Airport Security AnalysisAll Resources.UsageCostUsage CostSystem"/>
    <n v="4"/>
    <n v="0"/>
    <n v="0"/>
    <n v="0.95"/>
    <n v="0"/>
    <n v="0"/>
    <n v="0"/>
  </r>
  <r>
    <x v="0"/>
    <s v="2023-06-19 11:25:12"/>
    <n v="1"/>
    <x v="16"/>
    <x v="0"/>
    <x v="0"/>
    <n v="79.3009790309046"/>
    <n v="0"/>
    <s v="Airport Security AnalysisCheck for Proper Identification Accum VA CostAccum VA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1"/>
    <x v="17"/>
    <x v="1"/>
    <x v="0"/>
    <n v="396.50489515452301"/>
    <n v="0"/>
    <s v="Airport Security AnalysisCheck for Proper Identification Accum VA TimeAccum VA TimeProcess"/>
    <n v="4"/>
    <n v="384.64382689036626"/>
    <n v="16.437445145210162"/>
    <n v="0.95"/>
    <n v="26.155643285338851"/>
    <n v="363.00646485549402"/>
    <n v="398.30467212243002"/>
  </r>
  <r>
    <x v="0"/>
    <s v="2023-06-19 11:25:12"/>
    <n v="1"/>
    <x v="18"/>
    <x v="15"/>
    <x v="0"/>
    <n v="0"/>
    <n v="0"/>
    <s v="Airport Security AnalysisCheck for Proper Identification Accum Wait CostAccum Wait CostProcess"/>
    <n v="4"/>
    <n v="0"/>
    <n v="0"/>
    <n v="0.95"/>
    <n v="0"/>
    <n v="0"/>
    <n v="0"/>
  </r>
  <r>
    <x v="0"/>
    <s v="2023-06-19 11:25:12"/>
    <n v="1"/>
    <x v="19"/>
    <x v="16"/>
    <x v="0"/>
    <n v="14608.063145672"/>
    <n v="0"/>
    <s v="Airport Security AnalysisCheck for Proper Identification Accum Wait TimeAccum Wait TimeProcess"/>
    <n v="4"/>
    <n v="12692.581721271574"/>
    <n v="2222.7996146344935"/>
    <n v="0.95"/>
    <n v="3536.9702104897965"/>
    <n v="10542.4054832944"/>
    <n v="14613.0717473656"/>
  </r>
  <r>
    <x v="0"/>
    <s v="2023-06-19 11:25:12"/>
    <n v="1"/>
    <x v="20"/>
    <x v="2"/>
    <x v="0"/>
    <n v="297"/>
    <n v="0"/>
    <s v="Airport Security AnalysisCheck for Proper Identification Number InNumber InProcess"/>
    <n v="4"/>
    <n v="287"/>
    <n v="9.3452305125841235"/>
    <n v="0.95"/>
    <n v="14.870347158398957"/>
    <n v="276"/>
    <n v="297"/>
  </r>
  <r>
    <x v="0"/>
    <s v="2023-06-19 11:25:12"/>
    <n v="1"/>
    <x v="21"/>
    <x v="3"/>
    <x v="0"/>
    <n v="232"/>
    <n v="0"/>
    <s v="Airport Security AnalysisCheck for Proper Identification Number OutNumber OutProcess"/>
    <n v="4"/>
    <n v="224"/>
    <n v="9.8994949366116654"/>
    <n v="0.95"/>
    <n v="15.752305542597284"/>
    <n v="214"/>
    <n v="233"/>
  </r>
  <r>
    <x v="0"/>
    <s v="2023-06-19 11:25:12"/>
    <n v="1"/>
    <x v="22"/>
    <x v="4"/>
    <x v="0"/>
    <n v="79.3009790309046"/>
    <n v="0"/>
    <s v="Airport Security AnalysisCheck for Proper Identification Total Accum CostTotal Accum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1"/>
    <x v="23"/>
    <x v="5"/>
    <x v="0"/>
    <n v="15004.5680408265"/>
    <n v="0"/>
    <s v="Airport Security AnalysisCheck for Proper Identification Total Accum TimeTotal Accum TimeProcess"/>
    <n v="4"/>
    <n v="13077.22554816195"/>
    <n v="2228.6642699814252"/>
    <n v="0.95"/>
    <n v="3546.3021858600991"/>
    <n v="10905.4119481499"/>
    <n v="15004.5680408265"/>
  </r>
  <r>
    <x v="0"/>
    <s v="2023-06-19 11:25:12"/>
    <n v="1"/>
    <x v="24"/>
    <x v="2"/>
    <x v="2"/>
    <n v="297"/>
    <n v="0"/>
    <s v="Airport Security AnalysisEntity 1.NumberInNumber InEntity"/>
    <n v="4"/>
    <n v="287"/>
    <n v="9.3452305125841235"/>
    <n v="0.95"/>
    <n v="14.870347158398957"/>
    <n v="276"/>
    <n v="297"/>
  </r>
  <r>
    <x v="0"/>
    <s v="2023-06-19 11:25:12"/>
    <n v="1"/>
    <x v="25"/>
    <x v="3"/>
    <x v="2"/>
    <n v="173"/>
    <n v="0"/>
    <s v="Airport Security AnalysisEntity 1.NumberOutNumber OutEntity"/>
    <n v="4"/>
    <n v="179.25"/>
    <n v="5.315072906367325"/>
    <n v="0.95"/>
    <n v="8.457467066591116"/>
    <n v="173"/>
    <n v="185"/>
  </r>
  <r>
    <x v="0"/>
    <s v="2023-06-19 11:25:12"/>
    <n v="1"/>
    <x v="26"/>
    <x v="0"/>
    <x v="0"/>
    <n v="4.3474854089143804"/>
    <n v="0"/>
    <s v="Airport Security AnalysisExtra Bag Check Accum VA CostAccum VA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1"/>
    <x v="27"/>
    <x v="1"/>
    <x v="0"/>
    <n v="21.737427044571898"/>
    <n v="0"/>
    <s v="Airport Security AnalysisExtra Bag Check Accum VA TimeAccum VA TimeProcess"/>
    <n v="4"/>
    <n v="33.158536623728978"/>
    <n v="17.21570057971962"/>
    <n v="0.95"/>
    <n v="27.394021351399644"/>
    <n v="19.3526073170814"/>
    <n v="56.950022470218798"/>
  </r>
  <r>
    <x v="0"/>
    <s v="2023-06-19 11:25:12"/>
    <n v="1"/>
    <x v="28"/>
    <x v="15"/>
    <x v="0"/>
    <n v="0"/>
    <n v="0"/>
    <s v="Airport Security AnalysisExtra Bag Check Accum Wait CostAccum Wait CostProcess"/>
    <n v="4"/>
    <n v="0"/>
    <n v="0"/>
    <n v="0.95"/>
    <n v="0"/>
    <n v="0"/>
    <n v="0"/>
  </r>
  <r>
    <x v="0"/>
    <s v="2023-06-19 11:25:12"/>
    <n v="1"/>
    <x v="29"/>
    <x v="16"/>
    <x v="0"/>
    <n v="210.207096706388"/>
    <n v="0"/>
    <s v="Airport Security AnalysisExtra Bag Check Accum Wait TimeAccum Wait TimeProcess"/>
    <n v="4"/>
    <n v="176.41164102787997"/>
    <n v="81.720013644737534"/>
    <n v="0.95"/>
    <n v="130.03477774571456"/>
    <n v="96.9944662297289"/>
    <n v="275.19812426113498"/>
  </r>
  <r>
    <x v="0"/>
    <s v="2023-06-19 11:25:12"/>
    <n v="1"/>
    <x v="30"/>
    <x v="2"/>
    <x v="0"/>
    <n v="4"/>
    <n v="0"/>
    <s v="Airport Security AnalysisExtra Bag Check Number InNumber InProcess"/>
    <n v="4"/>
    <n v="3.75"/>
    <n v="1.2583057392117916"/>
    <n v="0.95"/>
    <n v="2.0022452253359253"/>
    <n v="2"/>
    <n v="5"/>
  </r>
  <r>
    <x v="0"/>
    <s v="2023-06-19 11:25:12"/>
    <n v="1"/>
    <x v="31"/>
    <x v="3"/>
    <x v="0"/>
    <n v="3"/>
    <n v="0"/>
    <s v="Airport Security AnalysisExtra Bag Check Number OutNumber OutProcess"/>
    <n v="4"/>
    <n v="3"/>
    <n v="0.81649658092772603"/>
    <n v="0.95"/>
    <n v="1.2992282636251109"/>
    <n v="2"/>
    <n v="4"/>
  </r>
  <r>
    <x v="0"/>
    <s v="2023-06-19 11:25:12"/>
    <n v="1"/>
    <x v="32"/>
    <x v="4"/>
    <x v="0"/>
    <n v="4.3474854089143804"/>
    <n v="0"/>
    <s v="Airport Security AnalysisExtra Bag Check Total Accum CostTotal Accum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1"/>
    <x v="33"/>
    <x v="5"/>
    <x v="0"/>
    <n v="231.94452375096"/>
    <n v="0"/>
    <s v="Airport Security AnalysisExtra Bag Check Total Accum TimeTotal Accum TimeProcess"/>
    <n v="4"/>
    <n v="209.57017765160899"/>
    <n v="81.85027903248286"/>
    <n v="0.95"/>
    <n v="130.24205904668281"/>
    <n v="116.34707354680999"/>
    <n v="309.79221392417901"/>
  </r>
  <r>
    <x v="0"/>
    <s v="2023-06-19 11:25:12"/>
    <n v="1"/>
    <x v="34"/>
    <x v="12"/>
    <x v="3"/>
    <n v="0"/>
    <n v="0"/>
    <s v="Airport Security AnalysisSecondary Screening Kit.BusyCostBusy CostResource"/>
    <n v="4"/>
    <n v="0"/>
    <n v="0"/>
    <n v="0.95"/>
    <n v="0"/>
    <n v="0"/>
    <n v="0"/>
  </r>
  <r>
    <x v="0"/>
    <s v="2023-06-19 11:25:12"/>
    <n v="1"/>
    <x v="35"/>
    <x v="13"/>
    <x v="3"/>
    <n v="0"/>
    <n v="0"/>
    <s v="Airport Security AnalysisSecondary Screening Kit.IdleCostIdle CostResource"/>
    <n v="4"/>
    <n v="0"/>
    <n v="0"/>
    <n v="0.95"/>
    <n v="0"/>
    <n v="0"/>
    <n v="0"/>
  </r>
  <r>
    <x v="0"/>
    <s v="2023-06-19 11:25:12"/>
    <n v="1"/>
    <x v="36"/>
    <x v="17"/>
    <x v="3"/>
    <n v="3"/>
    <n v="0"/>
    <s v="Airport Security AnalysisSecondary Screening Kit.NumberSeizedTotal Number SeizedResource"/>
    <n v="4"/>
    <n v="3"/>
    <n v="0.81649658092772603"/>
    <n v="0.95"/>
    <n v="1.2992282636251109"/>
    <n v="2"/>
    <n v="4"/>
  </r>
  <r>
    <x v="0"/>
    <s v="2023-06-19 11:25:12"/>
    <n v="1"/>
    <x v="37"/>
    <x v="18"/>
    <x v="3"/>
    <n v="4.0254494526984999E-2"/>
    <n v="0"/>
    <s v="Airport Security AnalysisSecondary Screening Kit.ScheduledUtilizationScheduled UtilizationResource"/>
    <n v="4"/>
    <n v="6.1404697451349924E-2"/>
    <n v="3.1880926999480634E-2"/>
    <n v="0.95"/>
    <n v="5.0729669169258376E-2"/>
    <n v="3.5838161698299002E-2"/>
    <n v="0.10546300457447901"/>
  </r>
  <r>
    <x v="0"/>
    <s v="2023-06-19 11:25:12"/>
    <n v="1"/>
    <x v="38"/>
    <x v="14"/>
    <x v="3"/>
    <n v="0"/>
    <n v="0"/>
    <s v="Airport Security AnalysisSecondary Screening Kit.UsageCostUsage CostResource"/>
    <n v="4"/>
    <n v="0"/>
    <n v="0"/>
    <n v="0.95"/>
    <n v="0"/>
    <n v="0"/>
    <n v="0"/>
  </r>
  <r>
    <x v="0"/>
    <s v="2023-06-19 11:25:12"/>
    <n v="1"/>
    <x v="39"/>
    <x v="3"/>
    <x v="1"/>
    <n v="173"/>
    <n v="0"/>
    <s v="Airport Security AnalysisSystem.NumberOutNumber OutSystem"/>
    <n v="4"/>
    <n v="179.25"/>
    <n v="5.315072906367325"/>
    <n v="0.95"/>
    <n v="8.457467066591116"/>
    <n v="173"/>
    <n v="185"/>
  </r>
  <r>
    <x v="0"/>
    <s v="2023-06-19 11:25:12"/>
    <n v="1"/>
    <x v="40"/>
    <x v="8"/>
    <x v="1"/>
    <n v="214.49546120838099"/>
    <n v="0"/>
    <s v="Airport Security AnalysisSystem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1"/>
    <x v="41"/>
    <x v="12"/>
    <x v="3"/>
    <n v="208.490919799907"/>
    <n v="0"/>
    <s v="Airport Security AnalysisTransportation Security Officer.BusyCostBusy CostResource"/>
    <n v="4"/>
    <n v="210.78541398558849"/>
    <n v="4.3015506850385421"/>
    <n v="0.95"/>
    <n v="6.8447270422957551"/>
    <n v="206.05792548363399"/>
    <n v="215.56959882430399"/>
  </r>
  <r>
    <x v="0"/>
    <s v="2023-06-19 11:25:12"/>
    <n v="1"/>
    <x v="42"/>
    <x v="13"/>
    <x v="3"/>
    <n v="6.0045414084739104"/>
    <n v="0"/>
    <s v="Airport Security AnalysisTransportation Security Officer.IdleCostIdle CostResource"/>
    <n v="4"/>
    <n v="4.2300500576210318"/>
    <n v="4.2363178600656441"/>
    <n v="0.95"/>
    <n v="6.7409270608866461"/>
    <n v="0.14858336255221799"/>
    <n v="9.34402440928719"/>
  </r>
  <r>
    <x v="0"/>
    <s v="2023-06-19 11:25:12"/>
    <n v="1"/>
    <x v="43"/>
    <x v="17"/>
    <x v="3"/>
    <n v="403"/>
    <n v="0"/>
    <s v="Airport Security AnalysisTransportation Security Officer.NumberSeizedTotal Number SeizedResource"/>
    <n v="4"/>
    <n v="401.75"/>
    <n v="2.9860788111948193"/>
    <n v="0.95"/>
    <n v="4.7515177399864594"/>
    <n v="398"/>
    <n v="405"/>
  </r>
  <r>
    <x v="0"/>
    <s v="2023-06-19 11:25:12"/>
    <n v="1"/>
    <x v="44"/>
    <x v="18"/>
    <x v="3"/>
    <n v="0.97220119718299103"/>
    <n v="0"/>
    <s v="Airport Security AnalysisTransportation Security Officer.ScheduledUtilizationScheduled UtilizationResource"/>
    <n v="4"/>
    <n v="0.98041643491842145"/>
    <n v="1.9612582685488503E-2"/>
    <n v="0.95"/>
    <n v="3.1207995652252053E-2"/>
    <n v="0.95674062773478297"/>
    <n v="0.99931211406225795"/>
  </r>
  <r>
    <x v="0"/>
    <s v="2023-06-19 11:25:12"/>
    <n v="1"/>
    <x v="45"/>
    <x v="14"/>
    <x v="3"/>
    <n v="0"/>
    <n v="0"/>
    <s v="Airport Security AnalysisTransportation Security Officer.UsageCostUsage CostResource"/>
    <n v="4"/>
    <n v="0"/>
    <n v="0"/>
    <n v="0.95"/>
    <n v="0"/>
    <n v="0"/>
    <n v="0"/>
  </r>
  <r>
    <x v="0"/>
    <s v="2023-06-19 11:25:12"/>
    <n v="1"/>
    <x v="46"/>
    <x v="0"/>
    <x v="0"/>
    <n v="124.842455360088"/>
    <n v="0"/>
    <s v="Airport Security AnalysisXray Baggage Check Accum VA CostAccum VA CostProcess"/>
    <n v="4"/>
    <n v="127.224941282769"/>
    <n v="4.2482705353357675"/>
    <n v="0.95"/>
    <n v="6.759946434512476"/>
    <n v="122.526469595731"/>
    <n v="131.578301359161"/>
  </r>
  <r>
    <x v="0"/>
    <s v="2023-06-19 11:25:12"/>
    <n v="1"/>
    <x v="47"/>
    <x v="1"/>
    <x v="0"/>
    <n v="624.21227680043796"/>
    <n v="0"/>
    <s v="Airport Security AnalysisXray Baggage Check Accum VA TimeAccum VA TimeProcess"/>
    <n v="4"/>
    <n v="636.1247064138455"/>
    <n v="21.241352676679028"/>
    <n v="0.95"/>
    <n v="33.799732172562685"/>
    <n v="612.63234797865698"/>
    <n v="657.89150679580598"/>
  </r>
  <r>
    <x v="0"/>
    <s v="2023-06-19 11:25:12"/>
    <n v="1"/>
    <x v="48"/>
    <x v="15"/>
    <x v="0"/>
    <n v="0"/>
    <n v="0"/>
    <s v="Airport Security AnalysisXray Baggage Check Accum Wait CostAccum Wait CostProcess"/>
    <n v="4"/>
    <n v="0"/>
    <n v="0"/>
    <n v="0.95"/>
    <n v="0"/>
    <n v="0"/>
    <n v="0"/>
  </r>
  <r>
    <x v="0"/>
    <s v="2023-06-19 11:25:12"/>
    <n v="1"/>
    <x v="49"/>
    <x v="16"/>
    <x v="0"/>
    <n v="10304.5034812877"/>
    <n v="0"/>
    <s v="Airport Security AnalysisXray Baggage Check Accum Wait TimeAccum Wait TimeProcess"/>
    <n v="4"/>
    <n v="10257.343173692567"/>
    <n v="2550.6385043783166"/>
    <n v="0.95"/>
    <n v="4058.6350421865682"/>
    <n v="7661.1563493536996"/>
    <n v="13714.2968238091"/>
  </r>
  <r>
    <x v="0"/>
    <s v="2023-06-19 11:25:12"/>
    <n v="1"/>
    <x v="50"/>
    <x v="2"/>
    <x v="0"/>
    <n v="224"/>
    <n v="0"/>
    <s v="Airport Security AnalysisXray Baggage Check Number InNumber InProcess"/>
    <n v="4"/>
    <n v="216.25"/>
    <n v="9.1787798753429097"/>
    <n v="0.95"/>
    <n v="14.605487050648748"/>
    <n v="206"/>
    <n v="224"/>
  </r>
  <r>
    <x v="0"/>
    <s v="2023-06-19 11:25:12"/>
    <n v="1"/>
    <x v="51"/>
    <x v="3"/>
    <x v="0"/>
    <n v="166"/>
    <n v="0"/>
    <s v="Airport Security AnalysisXray Baggage Check Number OutNumber OutProcess"/>
    <n v="4"/>
    <n v="172.75"/>
    <n v="6.7019897542943667"/>
    <n v="0.95"/>
    <n v="10.664361265801686"/>
    <n v="166"/>
    <n v="179"/>
  </r>
  <r>
    <x v="0"/>
    <s v="2023-06-19 11:25:12"/>
    <n v="1"/>
    <x v="52"/>
    <x v="4"/>
    <x v="0"/>
    <n v="124.842455360088"/>
    <n v="0"/>
    <s v="Airport Security AnalysisXray Baggage Check Total Accum CostTotal Accum CostProcess"/>
    <n v="4"/>
    <n v="127.224941282769"/>
    <n v="4.2482705353357675"/>
    <n v="0.95"/>
    <n v="6.759946434512476"/>
    <n v="122.526469595731"/>
    <n v="131.578301359161"/>
  </r>
  <r>
    <x v="0"/>
    <s v="2023-06-19 11:25:12"/>
    <n v="1"/>
    <x v="53"/>
    <x v="5"/>
    <x v="0"/>
    <n v="10928.715758088199"/>
    <n v="0"/>
    <s v="Airport Security AnalysisXray Baggage Check Total Accum TimeTotal Accum TimeProcess"/>
    <n v="4"/>
    <n v="10893.46788010644"/>
    <n v="2562.1766713466454"/>
    <n v="0.95"/>
    <n v="4076.9948406056201"/>
    <n v="8273.7886973323602"/>
    <n v="14364.0595178896"/>
  </r>
  <r>
    <x v="0"/>
    <s v="2023-06-19 11:25:12"/>
    <n v="1"/>
    <x v="54"/>
    <x v="12"/>
    <x v="3"/>
    <n v="0"/>
    <n v="0"/>
    <s v="Airport Security AnalysisXray Machine.BusyCostBusy CostResource"/>
    <n v="4"/>
    <n v="0"/>
    <n v="0"/>
    <n v="0.95"/>
    <n v="0"/>
    <n v="0"/>
    <n v="0"/>
  </r>
  <r>
    <x v="0"/>
    <s v="2023-06-19 11:25:12"/>
    <n v="1"/>
    <x v="55"/>
    <x v="13"/>
    <x v="3"/>
    <n v="0"/>
    <n v="0"/>
    <s v="Airport Security AnalysisXray Machine.IdleCostIdle CostResource"/>
    <n v="4"/>
    <n v="0"/>
    <n v="0"/>
    <n v="0.95"/>
    <n v="0"/>
    <n v="0"/>
    <n v="0"/>
  </r>
  <r>
    <x v="0"/>
    <s v="2023-06-19 11:25:12"/>
    <n v="1"/>
    <x v="56"/>
    <x v="17"/>
    <x v="3"/>
    <n v="168"/>
    <n v="0"/>
    <s v="Airport Security AnalysisXray Machine.NumberSeizedTotal Number SeizedResource"/>
    <n v="4"/>
    <n v="173.75"/>
    <n v="6.6520673478250352"/>
    <n v="0.95"/>
    <n v="10.584923576792088"/>
    <n v="168"/>
    <n v="180"/>
  </r>
  <r>
    <x v="0"/>
    <s v="2023-06-19 11:25:12"/>
    <n v="1"/>
    <x v="57"/>
    <x v="18"/>
    <x v="3"/>
    <n v="0.58493978773938404"/>
    <n v="0"/>
    <s v="Airport Security AnalysisXray Machine.ScheduledUtilizationScheduled UtilizationResource"/>
    <n v="4"/>
    <n v="0.59254402897918601"/>
    <n v="2.0319404327018134E-2"/>
    <n v="0.95"/>
    <n v="3.2332706613042321E-2"/>
    <n v="0.56725217405431305"/>
    <n v="0.60915880258870903"/>
  </r>
  <r>
    <x v="0"/>
    <s v="2023-06-19 11:25:12"/>
    <n v="1"/>
    <x v="58"/>
    <x v="14"/>
    <x v="3"/>
    <n v="0"/>
    <n v="0"/>
    <s v="Airport Security AnalysisXray Machine.UsageCostUsage CostResource"/>
    <n v="4"/>
    <n v="0"/>
    <n v="0"/>
    <n v="0.95"/>
    <n v="0"/>
    <n v="0"/>
    <n v="0"/>
  </r>
  <r>
    <x v="0"/>
    <s v="2023-06-19 11:25:12"/>
    <n v="2"/>
    <x v="0"/>
    <x v="0"/>
    <x v="0"/>
    <n v="0"/>
    <n v="0"/>
    <s v="Airport Security AnalysisAdditional Security Check Accum VA CostAccum VA CostProcess"/>
    <n v="4"/>
    <n v="0"/>
    <n v="0"/>
    <n v="0.95"/>
    <n v="0"/>
    <n v="0"/>
    <n v="0"/>
  </r>
  <r>
    <x v="0"/>
    <s v="2023-06-19 11:25:12"/>
    <n v="2"/>
    <x v="1"/>
    <x v="1"/>
    <x v="0"/>
    <n v="92.075376137388503"/>
    <n v="0"/>
    <s v="Airport Security AnalysisAdditional Security Check Accum VA TimeAccum VA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2"/>
    <x v="2"/>
    <x v="2"/>
    <x v="0"/>
    <n v="17"/>
    <n v="0"/>
    <s v="Airport Security AnalysisAdditional Security Check Number InNumber InProcess"/>
    <n v="4"/>
    <n v="15"/>
    <n v="1.8257418583505538"/>
    <n v="0.95"/>
    <n v="2.905162715754765"/>
    <n v="13"/>
    <n v="17"/>
  </r>
  <r>
    <x v="0"/>
    <s v="2023-06-19 11:25:12"/>
    <n v="2"/>
    <x v="3"/>
    <x v="3"/>
    <x v="0"/>
    <n v="16"/>
    <n v="0"/>
    <s v="Airport Security AnalysisAdditional Security Check Number OutNumber OutProcess"/>
    <n v="4"/>
    <n v="14.5"/>
    <n v="1.9148542155126762"/>
    <n v="0.95"/>
    <n v="3.0469603616576246"/>
    <n v="12"/>
    <n v="16"/>
  </r>
  <r>
    <x v="0"/>
    <s v="2023-06-19 11:25:12"/>
    <n v="2"/>
    <x v="4"/>
    <x v="4"/>
    <x v="0"/>
    <n v="0"/>
    <n v="0"/>
    <s v="Airport Security AnalysisAdditional Security Check Total Accum CostTotal Accum CostProcess"/>
    <n v="4"/>
    <n v="0"/>
    <n v="0"/>
    <n v="0.95"/>
    <n v="0"/>
    <n v="0"/>
    <n v="0"/>
  </r>
  <r>
    <x v="0"/>
    <s v="2023-06-19 11:25:12"/>
    <n v="2"/>
    <x v="5"/>
    <x v="5"/>
    <x v="0"/>
    <n v="92.075376137388503"/>
    <n v="0"/>
    <s v="Airport Security AnalysisAdditional Security Check Total Accum TimeTotal Accum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2"/>
    <x v="6"/>
    <x v="6"/>
    <x v="1"/>
    <n v="0"/>
    <n v="0"/>
    <s v="Airport Security AnalysisAll Entities.NVACostNVA CostSystem"/>
    <n v="4"/>
    <n v="0"/>
    <n v="0"/>
    <n v="0.95"/>
    <n v="0"/>
    <n v="0"/>
    <n v="0"/>
  </r>
  <r>
    <x v="0"/>
    <s v="2023-06-19 11:25:12"/>
    <n v="2"/>
    <x v="7"/>
    <x v="7"/>
    <x v="1"/>
    <n v="0"/>
    <n v="0"/>
    <s v="Airport Security AnalysisAll Entities.OtherCostOther CostSystem"/>
    <n v="4"/>
    <n v="0"/>
    <n v="0"/>
    <n v="0.95"/>
    <n v="0"/>
    <n v="0"/>
    <n v="0"/>
  </r>
  <r>
    <x v="0"/>
    <s v="2023-06-19 11:25:12"/>
    <n v="2"/>
    <x v="8"/>
    <x v="8"/>
    <x v="1"/>
    <n v="213.023211834509"/>
    <n v="0"/>
    <s v="Airport Security AnalysisAll Entities.TotalCostTotal CostSystem"/>
    <n v="4"/>
    <n v="210.78541398558849"/>
    <n v="4.3015506850385421"/>
    <n v="0.95"/>
    <n v="6.8447270422957551"/>
    <n v="206.05792548363399"/>
    <n v="215.56959882430399"/>
  </r>
  <r>
    <x v="0"/>
    <s v="2023-06-19 11:25:12"/>
    <n v="2"/>
    <x v="9"/>
    <x v="9"/>
    <x v="1"/>
    <n v="0"/>
    <n v="0"/>
    <s v="Airport Security AnalysisAll Entities.TranCostTran CostSystem"/>
    <n v="4"/>
    <n v="0"/>
    <n v="0"/>
    <n v="0.95"/>
    <n v="0"/>
    <n v="0"/>
    <n v="0"/>
  </r>
  <r>
    <x v="0"/>
    <s v="2023-06-19 11:25:12"/>
    <n v="2"/>
    <x v="10"/>
    <x v="10"/>
    <x v="1"/>
    <n v="213.023211834509"/>
    <n v="0"/>
    <s v="Airport Security AnalysisAll Entities.VACostVA CostSystem"/>
    <n v="4"/>
    <n v="210.78541398558849"/>
    <n v="4.3015506850385421"/>
    <n v="0.95"/>
    <n v="6.8447270422957551"/>
    <n v="206.05792548363399"/>
    <n v="215.56959882430399"/>
  </r>
  <r>
    <x v="0"/>
    <s v="2023-06-19 11:25:12"/>
    <n v="2"/>
    <x v="11"/>
    <x v="11"/>
    <x v="1"/>
    <n v="0"/>
    <n v="0"/>
    <s v="Airport Security AnalysisAll Entities.WaitCostWait CostSystem"/>
    <n v="4"/>
    <n v="0"/>
    <n v="0"/>
    <n v="0.95"/>
    <n v="0"/>
    <n v="0"/>
    <n v="0"/>
  </r>
  <r>
    <x v="0"/>
    <s v="2023-06-19 11:25:12"/>
    <n v="2"/>
    <x v="12"/>
    <x v="12"/>
    <x v="1"/>
    <n v="213.023211834509"/>
    <n v="0"/>
    <s v="Airport Security AnalysisAll Resources.BusyCostBusy CostSystem"/>
    <n v="4"/>
    <n v="210.78541398558849"/>
    <n v="4.3015506850385421"/>
    <n v="0.95"/>
    <n v="6.8447270422957551"/>
    <n v="206.05792548363399"/>
    <n v="215.56959882430399"/>
  </r>
  <r>
    <x v="0"/>
    <s v="2023-06-19 11:25:12"/>
    <n v="2"/>
    <x v="13"/>
    <x v="13"/>
    <x v="1"/>
    <n v="1.42305105017081"/>
    <n v="0"/>
    <s v="Airport Security AnalysisAll Resources.IdleCostIdle CostSystem"/>
    <n v="4"/>
    <n v="4.2300500576210318"/>
    <n v="4.2363178600656441"/>
    <n v="0.95"/>
    <n v="6.7409270608866461"/>
    <n v="0.14858336255221799"/>
    <n v="9.34402440928719"/>
  </r>
  <r>
    <x v="0"/>
    <s v="2023-06-19 11:25:12"/>
    <n v="2"/>
    <x v="14"/>
    <x v="8"/>
    <x v="1"/>
    <n v="214.44626288468001"/>
    <n v="0"/>
    <s v="Airport Security AnalysisAll Resources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2"/>
    <x v="15"/>
    <x v="14"/>
    <x v="1"/>
    <n v="0"/>
    <n v="0"/>
    <s v="Airport Security AnalysisAll Resources.UsageCostUsage CostSystem"/>
    <n v="4"/>
    <n v="0"/>
    <n v="0"/>
    <n v="0.95"/>
    <n v="0"/>
    <n v="0"/>
    <n v="0"/>
  </r>
  <r>
    <x v="0"/>
    <s v="2023-06-19 11:25:12"/>
    <n v="2"/>
    <x v="16"/>
    <x v="0"/>
    <x v="0"/>
    <n v="76.151855085803504"/>
    <n v="0"/>
    <s v="Airport Security AnalysisCheck for Proper Identification Accum VA CostAccum VA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2"/>
    <x v="17"/>
    <x v="1"/>
    <x v="0"/>
    <n v="380.75927542901798"/>
    <n v="0"/>
    <s v="Airport Security AnalysisCheck for Proper Identification Accum VA TimeAccum VA TimeProcess"/>
    <n v="4"/>
    <n v="384.64382689036626"/>
    <n v="16.437445145210162"/>
    <n v="0.95"/>
    <n v="26.155643285338851"/>
    <n v="363.00646485549402"/>
    <n v="398.30467212243002"/>
  </r>
  <r>
    <x v="0"/>
    <s v="2023-06-19 11:25:12"/>
    <n v="2"/>
    <x v="18"/>
    <x v="15"/>
    <x v="0"/>
    <n v="0"/>
    <n v="0"/>
    <s v="Airport Security AnalysisCheck for Proper Identification Accum Wait CostAccum Wait CostProcess"/>
    <n v="4"/>
    <n v="0"/>
    <n v="0"/>
    <n v="0.95"/>
    <n v="0"/>
    <n v="0"/>
    <n v="0"/>
  </r>
  <r>
    <x v="0"/>
    <s v="2023-06-19 11:25:12"/>
    <n v="2"/>
    <x v="19"/>
    <x v="16"/>
    <x v="0"/>
    <n v="14613.0717473656"/>
    <n v="0"/>
    <s v="Airport Security AnalysisCheck for Proper Identification Accum Wait TimeAccum Wait TimeProcess"/>
    <n v="4"/>
    <n v="12692.581721271574"/>
    <n v="2222.7996146344935"/>
    <n v="0.95"/>
    <n v="3536.9702104897965"/>
    <n v="10542.4054832944"/>
    <n v="14613.0717473656"/>
  </r>
  <r>
    <x v="0"/>
    <s v="2023-06-19 11:25:12"/>
    <n v="2"/>
    <x v="20"/>
    <x v="2"/>
    <x v="0"/>
    <n v="292"/>
    <n v="0"/>
    <s v="Airport Security AnalysisCheck for Proper Identification Number InNumber InProcess"/>
    <n v="4"/>
    <n v="287"/>
    <n v="9.3452305125841235"/>
    <n v="0.95"/>
    <n v="14.870347158398957"/>
    <n v="276"/>
    <n v="297"/>
  </r>
  <r>
    <x v="0"/>
    <s v="2023-06-19 11:25:12"/>
    <n v="2"/>
    <x v="21"/>
    <x v="3"/>
    <x v="0"/>
    <n v="217"/>
    <n v="0"/>
    <s v="Airport Security AnalysisCheck for Proper Identification Number OutNumber OutProcess"/>
    <n v="4"/>
    <n v="224"/>
    <n v="9.8994949366116654"/>
    <n v="0.95"/>
    <n v="15.752305542597284"/>
    <n v="214"/>
    <n v="233"/>
  </r>
  <r>
    <x v="0"/>
    <s v="2023-06-19 11:25:12"/>
    <n v="2"/>
    <x v="22"/>
    <x v="4"/>
    <x v="0"/>
    <n v="76.151855085803504"/>
    <n v="0"/>
    <s v="Airport Security AnalysisCheck for Proper Identification Total Accum CostTotal Accum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2"/>
    <x v="23"/>
    <x v="5"/>
    <x v="0"/>
    <n v="14993.8310227946"/>
    <n v="0"/>
    <s v="Airport Security AnalysisCheck for Proper Identification Total Accum TimeTotal Accum TimeProcess"/>
    <n v="4"/>
    <n v="13077.22554816195"/>
    <n v="2228.6642699814252"/>
    <n v="0.95"/>
    <n v="3546.3021858600991"/>
    <n v="10905.4119481499"/>
    <n v="15004.5680408265"/>
  </r>
  <r>
    <x v="0"/>
    <s v="2023-06-19 11:25:12"/>
    <n v="2"/>
    <x v="24"/>
    <x v="2"/>
    <x v="2"/>
    <n v="292"/>
    <n v="0"/>
    <s v="Airport Security AnalysisEntity 1.NumberInNumber InEntity"/>
    <n v="4"/>
    <n v="287"/>
    <n v="9.3452305125841235"/>
    <n v="0.95"/>
    <n v="14.870347158398957"/>
    <n v="276"/>
    <n v="297"/>
  </r>
  <r>
    <x v="0"/>
    <s v="2023-06-19 11:25:12"/>
    <n v="2"/>
    <x v="25"/>
    <x v="3"/>
    <x v="2"/>
    <n v="182"/>
    <n v="0"/>
    <s v="Airport Security AnalysisEntity 1.NumberOutNumber OutEntity"/>
    <n v="4"/>
    <n v="179.25"/>
    <n v="5.315072906367325"/>
    <n v="0.95"/>
    <n v="8.457467066591116"/>
    <n v="173"/>
    <n v="185"/>
  </r>
  <r>
    <x v="0"/>
    <s v="2023-06-19 11:25:12"/>
    <n v="2"/>
    <x v="26"/>
    <x v="0"/>
    <x v="0"/>
    <n v="6.9188179326087598"/>
    <n v="0"/>
    <s v="Airport Security AnalysisExtra Bag Check Accum VA CostAccum VA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2"/>
    <x v="27"/>
    <x v="1"/>
    <x v="0"/>
    <n v="34.594089663043803"/>
    <n v="0"/>
    <s v="Airport Security AnalysisExtra Bag Check Accum VA TimeAccum VA TimeProcess"/>
    <n v="4"/>
    <n v="33.158536623728978"/>
    <n v="17.21570057971962"/>
    <n v="0.95"/>
    <n v="27.394021351399644"/>
    <n v="19.3526073170814"/>
    <n v="56.950022470218798"/>
  </r>
  <r>
    <x v="0"/>
    <s v="2023-06-19 11:25:12"/>
    <n v="2"/>
    <x v="28"/>
    <x v="15"/>
    <x v="0"/>
    <n v="0"/>
    <n v="0"/>
    <s v="Airport Security AnalysisExtra Bag Check Accum Wait CostAccum Wait CostProcess"/>
    <n v="4"/>
    <n v="0"/>
    <n v="0"/>
    <n v="0.95"/>
    <n v="0"/>
    <n v="0"/>
    <n v="0"/>
  </r>
  <r>
    <x v="0"/>
    <s v="2023-06-19 11:25:12"/>
    <n v="2"/>
    <x v="29"/>
    <x v="16"/>
    <x v="0"/>
    <n v="275.19812426113498"/>
    <n v="0"/>
    <s v="Airport Security AnalysisExtra Bag Check Accum Wait TimeAccum Wait TimeProcess"/>
    <n v="4"/>
    <n v="176.41164102787997"/>
    <n v="81.720013644737534"/>
    <n v="0.95"/>
    <n v="130.03477774571456"/>
    <n v="96.9944662297289"/>
    <n v="275.19812426113498"/>
  </r>
  <r>
    <x v="0"/>
    <s v="2023-06-19 11:25:12"/>
    <n v="2"/>
    <x v="30"/>
    <x v="2"/>
    <x v="0"/>
    <n v="5"/>
    <n v="0"/>
    <s v="Airport Security AnalysisExtra Bag Check Number InNumber InProcess"/>
    <n v="4"/>
    <n v="3.75"/>
    <n v="1.2583057392117916"/>
    <n v="0.95"/>
    <n v="2.0022452253359253"/>
    <n v="2"/>
    <n v="5"/>
  </r>
  <r>
    <x v="0"/>
    <s v="2023-06-19 11:25:12"/>
    <n v="2"/>
    <x v="31"/>
    <x v="3"/>
    <x v="0"/>
    <n v="4"/>
    <n v="0"/>
    <s v="Airport Security AnalysisExtra Bag Check Number OutNumber OutProcess"/>
    <n v="4"/>
    <n v="3"/>
    <n v="0.81649658092772603"/>
    <n v="0.95"/>
    <n v="1.2992282636251109"/>
    <n v="2"/>
    <n v="4"/>
  </r>
  <r>
    <x v="0"/>
    <s v="2023-06-19 11:25:12"/>
    <n v="2"/>
    <x v="32"/>
    <x v="4"/>
    <x v="0"/>
    <n v="6.9188179326087598"/>
    <n v="0"/>
    <s v="Airport Security AnalysisExtra Bag Check Total Accum CostTotal Accum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2"/>
    <x v="33"/>
    <x v="5"/>
    <x v="0"/>
    <n v="309.79221392417901"/>
    <n v="0"/>
    <s v="Airport Security AnalysisExtra Bag Check Total Accum TimeTotal Accum TimeProcess"/>
    <n v="4"/>
    <n v="209.57017765160899"/>
    <n v="81.85027903248286"/>
    <n v="0.95"/>
    <n v="130.24205904668281"/>
    <n v="116.34707354680999"/>
    <n v="309.79221392417901"/>
  </r>
  <r>
    <x v="0"/>
    <s v="2023-06-19 11:25:12"/>
    <n v="2"/>
    <x v="34"/>
    <x v="12"/>
    <x v="3"/>
    <n v="0"/>
    <n v="0"/>
    <s v="Airport Security AnalysisSecondary Screening Kit.BusyCostBusy CostResource"/>
    <n v="4"/>
    <n v="0"/>
    <n v="0"/>
    <n v="0.95"/>
    <n v="0"/>
    <n v="0"/>
    <n v="0"/>
  </r>
  <r>
    <x v="0"/>
    <s v="2023-06-19 11:25:12"/>
    <n v="2"/>
    <x v="35"/>
    <x v="13"/>
    <x v="3"/>
    <n v="0"/>
    <n v="0"/>
    <s v="Airport Security AnalysisSecondary Screening Kit.IdleCostIdle CostResource"/>
    <n v="4"/>
    <n v="0"/>
    <n v="0"/>
    <n v="0.95"/>
    <n v="0"/>
    <n v="0"/>
    <n v="0"/>
  </r>
  <r>
    <x v="0"/>
    <s v="2023-06-19 11:25:12"/>
    <n v="2"/>
    <x v="36"/>
    <x v="17"/>
    <x v="3"/>
    <n v="4"/>
    <n v="0"/>
    <s v="Airport Security AnalysisSecondary Screening Kit.NumberSeizedTotal Number SeizedResource"/>
    <n v="4"/>
    <n v="3"/>
    <n v="0.81649658092772603"/>
    <n v="0.95"/>
    <n v="1.2992282636251109"/>
    <n v="2"/>
    <n v="4"/>
  </r>
  <r>
    <x v="0"/>
    <s v="2023-06-19 11:25:12"/>
    <n v="2"/>
    <x v="37"/>
    <x v="18"/>
    <x v="3"/>
    <n v="6.4063129005636696E-2"/>
    <n v="0"/>
    <s v="Airport Security AnalysisSecondary Screening Kit.ScheduledUtilizationScheduled UtilizationResource"/>
    <n v="4"/>
    <n v="6.1404697451349924E-2"/>
    <n v="3.1880926999480634E-2"/>
    <n v="0.95"/>
    <n v="5.0729669169258376E-2"/>
    <n v="3.5838161698299002E-2"/>
    <n v="0.10546300457447901"/>
  </r>
  <r>
    <x v="0"/>
    <s v="2023-06-19 11:25:12"/>
    <n v="2"/>
    <x v="38"/>
    <x v="14"/>
    <x v="3"/>
    <n v="0"/>
    <n v="0"/>
    <s v="Airport Security AnalysisSecondary Screening Kit.UsageCostUsage CostResource"/>
    <n v="4"/>
    <n v="0"/>
    <n v="0"/>
    <n v="0.95"/>
    <n v="0"/>
    <n v="0"/>
    <n v="0"/>
  </r>
  <r>
    <x v="0"/>
    <s v="2023-06-19 11:25:12"/>
    <n v="2"/>
    <x v="39"/>
    <x v="3"/>
    <x v="1"/>
    <n v="182"/>
    <n v="0"/>
    <s v="Airport Security AnalysisSystem.NumberOutNumber OutSystem"/>
    <n v="4"/>
    <n v="179.25"/>
    <n v="5.315072906367325"/>
    <n v="0.95"/>
    <n v="8.457467066591116"/>
    <n v="173"/>
    <n v="185"/>
  </r>
  <r>
    <x v="0"/>
    <s v="2023-06-19 11:25:12"/>
    <n v="2"/>
    <x v="40"/>
    <x v="8"/>
    <x v="1"/>
    <n v="214.44626288468001"/>
    <n v="0"/>
    <s v="Airport Security AnalysisSystem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2"/>
    <x v="41"/>
    <x v="12"/>
    <x v="3"/>
    <n v="213.023211834509"/>
    <n v="0"/>
    <s v="Airport Security AnalysisTransportation Security Officer.BusyCostBusy CostResource"/>
    <n v="4"/>
    <n v="210.78541398558849"/>
    <n v="4.3015506850385421"/>
    <n v="0.95"/>
    <n v="6.8447270422957551"/>
    <n v="206.05792548363399"/>
    <n v="215.56959882430399"/>
  </r>
  <r>
    <x v="0"/>
    <s v="2023-06-19 11:25:12"/>
    <n v="2"/>
    <x v="42"/>
    <x v="13"/>
    <x v="3"/>
    <n v="1.42305105017081"/>
    <n v="0"/>
    <s v="Airport Security AnalysisTransportation Security Officer.IdleCostIdle CostResource"/>
    <n v="4"/>
    <n v="4.2300500576210318"/>
    <n v="4.2363178600656441"/>
    <n v="0.95"/>
    <n v="6.7409270608866461"/>
    <n v="0.14858336255221799"/>
    <n v="9.34402440928719"/>
  </r>
  <r>
    <x v="0"/>
    <s v="2023-06-19 11:25:12"/>
    <n v="2"/>
    <x v="43"/>
    <x v="17"/>
    <x v="3"/>
    <n v="401"/>
    <n v="0"/>
    <s v="Airport Security AnalysisTransportation Security Officer.NumberSeizedTotal Number SeizedResource"/>
    <n v="4"/>
    <n v="401.75"/>
    <n v="2.9860788111948193"/>
    <n v="0.95"/>
    <n v="4.7515177399864594"/>
    <n v="398"/>
    <n v="405"/>
  </r>
  <r>
    <x v="0"/>
    <s v="2023-06-19 11:25:12"/>
    <n v="2"/>
    <x v="44"/>
    <x v="18"/>
    <x v="3"/>
    <n v="0.99341180069365398"/>
    <n v="0"/>
    <s v="Airport Security AnalysisTransportation Security Officer.ScheduledUtilizationScheduled UtilizationResource"/>
    <n v="4"/>
    <n v="0.98041643491842145"/>
    <n v="1.9612582685488503E-2"/>
    <n v="0.95"/>
    <n v="3.1207995652252053E-2"/>
    <n v="0.95674062773478297"/>
    <n v="0.99931211406225795"/>
  </r>
  <r>
    <x v="0"/>
    <s v="2023-06-19 11:25:12"/>
    <n v="2"/>
    <x v="45"/>
    <x v="14"/>
    <x v="3"/>
    <n v="0"/>
    <n v="0"/>
    <s v="Airport Security AnalysisTransportation Security Officer.UsageCostUsage CostResource"/>
    <n v="4"/>
    <n v="0"/>
    <n v="0"/>
    <n v="0.95"/>
    <n v="0"/>
    <n v="0"/>
    <n v="0"/>
  </r>
  <r>
    <x v="0"/>
    <s v="2023-06-19 11:25:12"/>
    <n v="2"/>
    <x v="46"/>
    <x v="0"/>
    <x v="0"/>
    <n v="129.95253881609599"/>
    <n v="0"/>
    <s v="Airport Security AnalysisXray Baggage Check Accum VA CostAccum VA CostProcess"/>
    <n v="4"/>
    <n v="127.224941282769"/>
    <n v="4.2482705353357675"/>
    <n v="0.95"/>
    <n v="6.759946434512476"/>
    <n v="122.526469595731"/>
    <n v="131.578301359161"/>
  </r>
  <r>
    <x v="0"/>
    <s v="2023-06-19 11:25:12"/>
    <n v="2"/>
    <x v="47"/>
    <x v="1"/>
    <x v="0"/>
    <n v="649.76269408048097"/>
    <n v="0"/>
    <s v="Airport Security AnalysisXray Baggage Check Accum VA TimeAccum VA TimeProcess"/>
    <n v="4"/>
    <n v="636.1247064138455"/>
    <n v="21.241352676679028"/>
    <n v="0.95"/>
    <n v="33.799732172562685"/>
    <n v="612.63234797865698"/>
    <n v="657.89150679580598"/>
  </r>
  <r>
    <x v="0"/>
    <s v="2023-06-19 11:25:12"/>
    <n v="2"/>
    <x v="48"/>
    <x v="15"/>
    <x v="0"/>
    <n v="0"/>
    <n v="0"/>
    <s v="Airport Security AnalysisXray Baggage Check Accum Wait CostAccum Wait CostProcess"/>
    <n v="4"/>
    <n v="0"/>
    <n v="0"/>
    <n v="0.95"/>
    <n v="0"/>
    <n v="0"/>
    <n v="0"/>
  </r>
  <r>
    <x v="0"/>
    <s v="2023-06-19 11:25:12"/>
    <n v="2"/>
    <x v="49"/>
    <x v="16"/>
    <x v="0"/>
    <n v="13714.2968238091"/>
    <n v="0"/>
    <s v="Airport Security AnalysisXray Baggage Check Accum Wait TimeAccum Wait TimeProcess"/>
    <n v="4"/>
    <n v="10257.343173692567"/>
    <n v="2550.6385043783166"/>
    <n v="0.95"/>
    <n v="4058.6350421865682"/>
    <n v="7661.1563493536996"/>
    <n v="13714.2968238091"/>
  </r>
  <r>
    <x v="0"/>
    <s v="2023-06-19 11:25:12"/>
    <n v="2"/>
    <x v="50"/>
    <x v="2"/>
    <x v="0"/>
    <n v="211"/>
    <n v="0"/>
    <s v="Airport Security AnalysisXray Baggage Check Number InNumber InProcess"/>
    <n v="4"/>
    <n v="216.25"/>
    <n v="9.1787798753429097"/>
    <n v="0.95"/>
    <n v="14.605487050648748"/>
    <n v="206"/>
    <n v="224"/>
  </r>
  <r>
    <x v="0"/>
    <s v="2023-06-19 11:25:12"/>
    <n v="2"/>
    <x v="51"/>
    <x v="3"/>
    <x v="0"/>
    <n v="178"/>
    <n v="0"/>
    <s v="Airport Security AnalysisXray Baggage Check Number OutNumber OutProcess"/>
    <n v="4"/>
    <n v="172.75"/>
    <n v="6.7019897542943667"/>
    <n v="0.95"/>
    <n v="10.664361265801686"/>
    <n v="166"/>
    <n v="179"/>
  </r>
  <r>
    <x v="0"/>
    <s v="2023-06-19 11:25:12"/>
    <n v="2"/>
    <x v="52"/>
    <x v="4"/>
    <x v="0"/>
    <n v="129.95253881609599"/>
    <n v="0"/>
    <s v="Airport Security AnalysisXray Baggage Check Total Accum CostTotal Accum CostProcess"/>
    <n v="4"/>
    <n v="127.224941282769"/>
    <n v="4.2482705353357675"/>
    <n v="0.95"/>
    <n v="6.759946434512476"/>
    <n v="122.526469595731"/>
    <n v="131.578301359161"/>
  </r>
  <r>
    <x v="0"/>
    <s v="2023-06-19 11:25:12"/>
    <n v="2"/>
    <x v="53"/>
    <x v="5"/>
    <x v="0"/>
    <n v="14364.0595178896"/>
    <n v="0"/>
    <s v="Airport Security AnalysisXray Baggage Check Total Accum TimeTotal Accum TimeProcess"/>
    <n v="4"/>
    <n v="10893.46788010644"/>
    <n v="2562.1766713466454"/>
    <n v="0.95"/>
    <n v="4076.9948406056201"/>
    <n v="8273.7886973323602"/>
    <n v="14364.0595178896"/>
  </r>
  <r>
    <x v="0"/>
    <s v="2023-06-19 11:25:12"/>
    <n v="2"/>
    <x v="54"/>
    <x v="12"/>
    <x v="3"/>
    <n v="0"/>
    <n v="0"/>
    <s v="Airport Security AnalysisXray Machine.BusyCostBusy CostResource"/>
    <n v="4"/>
    <n v="0"/>
    <n v="0"/>
    <n v="0.95"/>
    <n v="0"/>
    <n v="0"/>
    <n v="0"/>
  </r>
  <r>
    <x v="0"/>
    <s v="2023-06-19 11:25:12"/>
    <n v="2"/>
    <x v="55"/>
    <x v="13"/>
    <x v="3"/>
    <n v="0"/>
    <n v="0"/>
    <s v="Airport Security AnalysisXray Machine.IdleCostIdle CostResource"/>
    <n v="4"/>
    <n v="0"/>
    <n v="0"/>
    <n v="0.95"/>
    <n v="0"/>
    <n v="0"/>
    <n v="0"/>
  </r>
  <r>
    <x v="0"/>
    <s v="2023-06-19 11:25:12"/>
    <n v="2"/>
    <x v="56"/>
    <x v="17"/>
    <x v="3"/>
    <n v="180"/>
    <n v="0"/>
    <s v="Airport Security AnalysisXray Machine.NumberSeizedTotal Number SeizedResource"/>
    <n v="4"/>
    <n v="173.75"/>
    <n v="6.6520673478250352"/>
    <n v="0.95"/>
    <n v="10.584923576792088"/>
    <n v="168"/>
    <n v="180"/>
  </r>
  <r>
    <x v="0"/>
    <s v="2023-06-19 11:25:12"/>
    <n v="2"/>
    <x v="57"/>
    <x v="18"/>
    <x v="3"/>
    <n v="0.60882535153433803"/>
    <n v="0"/>
    <s v="Airport Security AnalysisXray Machine.ScheduledUtilizationScheduled UtilizationResource"/>
    <n v="4"/>
    <n v="0.59254402897918601"/>
    <n v="2.0319404327018134E-2"/>
    <n v="0.95"/>
    <n v="3.2332706613042321E-2"/>
    <n v="0.56725217405431305"/>
    <n v="0.60915880258870903"/>
  </r>
  <r>
    <x v="0"/>
    <s v="2023-06-19 11:25:12"/>
    <n v="2"/>
    <x v="58"/>
    <x v="14"/>
    <x v="3"/>
    <n v="0"/>
    <n v="0"/>
    <s v="Airport Security AnalysisXray Machine.UsageCostUsage CostResource"/>
    <n v="4"/>
    <n v="0"/>
    <n v="0"/>
    <n v="0.95"/>
    <n v="0"/>
    <n v="0"/>
    <n v="0"/>
  </r>
  <r>
    <x v="0"/>
    <s v="2023-06-19 11:25:12"/>
    <n v="3"/>
    <x v="0"/>
    <x v="0"/>
    <x v="0"/>
    <n v="0"/>
    <n v="0"/>
    <s v="Airport Security AnalysisAdditional Security Check Accum VA CostAccum VA CostProcess"/>
    <n v="4"/>
    <n v="0"/>
    <n v="0"/>
    <n v="0.95"/>
    <n v="0"/>
    <n v="0"/>
    <n v="0"/>
  </r>
  <r>
    <x v="0"/>
    <s v="2023-06-19 11:25:12"/>
    <n v="3"/>
    <x v="1"/>
    <x v="1"/>
    <x v="0"/>
    <n v="73.798651806292298"/>
    <n v="0"/>
    <s v="Airport Security AnalysisAdditional Security Check Accum VA TimeAccum VA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3"/>
    <x v="2"/>
    <x v="2"/>
    <x v="0"/>
    <n v="13"/>
    <n v="0"/>
    <s v="Airport Security AnalysisAdditional Security Check Number InNumber InProcess"/>
    <n v="4"/>
    <n v="15"/>
    <n v="1.8257418583505538"/>
    <n v="0.95"/>
    <n v="2.905162715754765"/>
    <n v="13"/>
    <n v="17"/>
  </r>
  <r>
    <x v="0"/>
    <s v="2023-06-19 11:25:12"/>
    <n v="3"/>
    <x v="3"/>
    <x v="3"/>
    <x v="0"/>
    <n v="12"/>
    <n v="0"/>
    <s v="Airport Security AnalysisAdditional Security Check Number OutNumber OutProcess"/>
    <n v="4"/>
    <n v="14.5"/>
    <n v="1.9148542155126762"/>
    <n v="0.95"/>
    <n v="3.0469603616576246"/>
    <n v="12"/>
    <n v="16"/>
  </r>
  <r>
    <x v="0"/>
    <s v="2023-06-19 11:25:12"/>
    <n v="3"/>
    <x v="4"/>
    <x v="4"/>
    <x v="0"/>
    <n v="0"/>
    <n v="0"/>
    <s v="Airport Security AnalysisAdditional Security Check Total Accum CostTotal Accum CostProcess"/>
    <n v="4"/>
    <n v="0"/>
    <n v="0"/>
    <n v="0.95"/>
    <n v="0"/>
    <n v="0"/>
    <n v="0"/>
  </r>
  <r>
    <x v="0"/>
    <s v="2023-06-19 11:25:12"/>
    <n v="3"/>
    <x v="5"/>
    <x v="5"/>
    <x v="0"/>
    <n v="73.798651806292298"/>
    <n v="0"/>
    <s v="Airport Security AnalysisAdditional Security Check Total Accum TimeTotal Accum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3"/>
    <x v="6"/>
    <x v="6"/>
    <x v="1"/>
    <n v="0"/>
    <n v="0"/>
    <s v="Airport Security AnalysisAll Entities.NVACostNVA CostSystem"/>
    <n v="4"/>
    <n v="0"/>
    <n v="0"/>
    <n v="0.95"/>
    <n v="0"/>
    <n v="0"/>
    <n v="0"/>
  </r>
  <r>
    <x v="0"/>
    <s v="2023-06-19 11:25:12"/>
    <n v="3"/>
    <x v="7"/>
    <x v="7"/>
    <x v="1"/>
    <n v="0"/>
    <n v="0"/>
    <s v="Airport Security AnalysisAll Entities.OtherCostOther CostSystem"/>
    <n v="4"/>
    <n v="0"/>
    <n v="0"/>
    <n v="0.95"/>
    <n v="0"/>
    <n v="0"/>
    <n v="0"/>
  </r>
  <r>
    <x v="0"/>
    <s v="2023-06-19 11:25:12"/>
    <n v="3"/>
    <x v="8"/>
    <x v="8"/>
    <x v="1"/>
    <n v="215.56959882430399"/>
    <n v="0"/>
    <s v="Airport Security AnalysisAll Entities.TotalCostTotal CostSystem"/>
    <n v="4"/>
    <n v="210.78541398558849"/>
    <n v="4.3015506850385421"/>
    <n v="0.95"/>
    <n v="6.8447270422957551"/>
    <n v="206.05792548363399"/>
    <n v="215.56959882430399"/>
  </r>
  <r>
    <x v="0"/>
    <s v="2023-06-19 11:25:12"/>
    <n v="3"/>
    <x v="9"/>
    <x v="9"/>
    <x v="1"/>
    <n v="0"/>
    <n v="0"/>
    <s v="Airport Security AnalysisAll Entities.TranCostTran CostSystem"/>
    <n v="4"/>
    <n v="0"/>
    <n v="0"/>
    <n v="0.95"/>
    <n v="0"/>
    <n v="0"/>
    <n v="0"/>
  </r>
  <r>
    <x v="0"/>
    <s v="2023-06-19 11:25:12"/>
    <n v="3"/>
    <x v="10"/>
    <x v="10"/>
    <x v="1"/>
    <n v="215.56959882430399"/>
    <n v="0"/>
    <s v="Airport Security AnalysisAll Entities.VACostVA CostSystem"/>
    <n v="4"/>
    <n v="210.78541398558849"/>
    <n v="4.3015506850385421"/>
    <n v="0.95"/>
    <n v="6.8447270422957551"/>
    <n v="206.05792548363399"/>
    <n v="215.56959882430399"/>
  </r>
  <r>
    <x v="0"/>
    <s v="2023-06-19 11:25:12"/>
    <n v="3"/>
    <x v="11"/>
    <x v="11"/>
    <x v="1"/>
    <n v="0"/>
    <n v="0"/>
    <s v="Airport Security AnalysisAll Entities.WaitCostWait CostSystem"/>
    <n v="4"/>
    <n v="0"/>
    <n v="0"/>
    <n v="0.95"/>
    <n v="0"/>
    <n v="0"/>
    <n v="0"/>
  </r>
  <r>
    <x v="0"/>
    <s v="2023-06-19 11:25:12"/>
    <n v="3"/>
    <x v="12"/>
    <x v="12"/>
    <x v="1"/>
    <n v="215.56959882430399"/>
    <n v="0"/>
    <s v="Airport Security AnalysisAll Resources.BusyCostBusy CostSystem"/>
    <n v="4"/>
    <n v="210.78541398558849"/>
    <n v="4.3015506850385421"/>
    <n v="0.95"/>
    <n v="6.8447270422957551"/>
    <n v="206.05792548363399"/>
    <n v="215.56959882430399"/>
  </r>
  <r>
    <x v="0"/>
    <s v="2023-06-19 11:25:12"/>
    <n v="3"/>
    <x v="13"/>
    <x v="13"/>
    <x v="1"/>
    <n v="0.14858336255221799"/>
    <n v="0"/>
    <s v="Airport Security AnalysisAll Resources.IdleCostIdle CostSystem"/>
    <n v="4"/>
    <n v="4.2300500576210318"/>
    <n v="4.2363178600656441"/>
    <n v="0.95"/>
    <n v="6.7409270608866461"/>
    <n v="0.14858336255221799"/>
    <n v="9.34402440928719"/>
  </r>
  <r>
    <x v="0"/>
    <s v="2023-06-19 11:25:12"/>
    <n v="3"/>
    <x v="14"/>
    <x v="8"/>
    <x v="1"/>
    <n v="215.71818218685601"/>
    <n v="0"/>
    <s v="Airport Security AnalysisAll Resources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3"/>
    <x v="15"/>
    <x v="14"/>
    <x v="1"/>
    <n v="0"/>
    <n v="0"/>
    <s v="Airport Security AnalysisAll Resources.UsageCostUsage CostSystem"/>
    <n v="4"/>
    <n v="0"/>
    <n v="0"/>
    <n v="0.95"/>
    <n v="0"/>
    <n v="0"/>
    <n v="0"/>
  </r>
  <r>
    <x v="0"/>
    <s v="2023-06-19 11:25:12"/>
    <n v="3"/>
    <x v="16"/>
    <x v="0"/>
    <x v="0"/>
    <n v="72.601292971098701"/>
    <n v="0"/>
    <s v="Airport Security AnalysisCheck for Proper Identification Accum VA CostAccum VA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3"/>
    <x v="17"/>
    <x v="1"/>
    <x v="0"/>
    <n v="363.00646485549402"/>
    <n v="0"/>
    <s v="Airport Security AnalysisCheck for Proper Identification Accum VA TimeAccum VA TimeProcess"/>
    <n v="4"/>
    <n v="384.64382689036626"/>
    <n v="16.437445145210162"/>
    <n v="0.95"/>
    <n v="26.155643285338851"/>
    <n v="363.00646485549402"/>
    <n v="398.30467212243002"/>
  </r>
  <r>
    <x v="0"/>
    <s v="2023-06-19 11:25:12"/>
    <n v="3"/>
    <x v="18"/>
    <x v="15"/>
    <x v="0"/>
    <n v="0"/>
    <n v="0"/>
    <s v="Airport Security AnalysisCheck for Proper Identification Accum Wait CostAccum Wait CostProcess"/>
    <n v="4"/>
    <n v="0"/>
    <n v="0"/>
    <n v="0.95"/>
    <n v="0"/>
    <n v="0"/>
    <n v="0"/>
  </r>
  <r>
    <x v="0"/>
    <s v="2023-06-19 11:25:12"/>
    <n v="3"/>
    <x v="19"/>
    <x v="16"/>
    <x v="0"/>
    <n v="10542.4054832944"/>
    <n v="0"/>
    <s v="Airport Security AnalysisCheck for Proper Identification Accum Wait TimeAccum Wait TimeProcess"/>
    <n v="4"/>
    <n v="12692.581721271574"/>
    <n v="2222.7996146344935"/>
    <n v="0.95"/>
    <n v="3536.9702104897965"/>
    <n v="10542.4054832944"/>
    <n v="14613.0717473656"/>
  </r>
  <r>
    <x v="0"/>
    <s v="2023-06-19 11:25:12"/>
    <n v="3"/>
    <x v="20"/>
    <x v="2"/>
    <x v="0"/>
    <n v="276"/>
    <n v="0"/>
    <s v="Airport Security AnalysisCheck for Proper Identification Number InNumber InProcess"/>
    <n v="4"/>
    <n v="287"/>
    <n v="9.3452305125841235"/>
    <n v="0.95"/>
    <n v="14.870347158398957"/>
    <n v="276"/>
    <n v="297"/>
  </r>
  <r>
    <x v="0"/>
    <s v="2023-06-19 11:25:12"/>
    <n v="3"/>
    <x v="21"/>
    <x v="3"/>
    <x v="0"/>
    <n v="214"/>
    <n v="0"/>
    <s v="Airport Security AnalysisCheck for Proper Identification Number OutNumber OutProcess"/>
    <n v="4"/>
    <n v="224"/>
    <n v="9.8994949366116654"/>
    <n v="0.95"/>
    <n v="15.752305542597284"/>
    <n v="214"/>
    <n v="233"/>
  </r>
  <r>
    <x v="0"/>
    <s v="2023-06-19 11:25:12"/>
    <n v="3"/>
    <x v="22"/>
    <x v="4"/>
    <x v="0"/>
    <n v="72.601292971098701"/>
    <n v="0"/>
    <s v="Airport Security AnalysisCheck for Proper Identification Total Accum CostTotal Accum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3"/>
    <x v="23"/>
    <x v="5"/>
    <x v="0"/>
    <n v="10905.4119481499"/>
    <n v="0"/>
    <s v="Airport Security AnalysisCheck for Proper Identification Total Accum TimeTotal Accum TimeProcess"/>
    <n v="4"/>
    <n v="13077.22554816195"/>
    <n v="2228.6642699814252"/>
    <n v="0.95"/>
    <n v="3546.3021858600991"/>
    <n v="10905.4119481499"/>
    <n v="15004.5680408265"/>
  </r>
  <r>
    <x v="0"/>
    <s v="2023-06-19 11:25:12"/>
    <n v="3"/>
    <x v="24"/>
    <x v="2"/>
    <x v="2"/>
    <n v="276"/>
    <n v="0"/>
    <s v="Airport Security AnalysisEntity 1.NumberInNumber InEntity"/>
    <n v="4"/>
    <n v="287"/>
    <n v="9.3452305125841235"/>
    <n v="0.95"/>
    <n v="14.870347158398957"/>
    <n v="276"/>
    <n v="297"/>
  </r>
  <r>
    <x v="0"/>
    <s v="2023-06-19 11:25:12"/>
    <n v="3"/>
    <x v="25"/>
    <x v="3"/>
    <x v="2"/>
    <n v="185"/>
    <n v="0"/>
    <s v="Airport Security AnalysisEntity 1.NumberOutNumber OutEntity"/>
    <n v="4"/>
    <n v="179.25"/>
    <n v="5.315072906367325"/>
    <n v="0.95"/>
    <n v="8.457467066591116"/>
    <n v="173"/>
    <n v="185"/>
  </r>
  <r>
    <x v="0"/>
    <s v="2023-06-19 11:25:12"/>
    <n v="3"/>
    <x v="26"/>
    <x v="0"/>
    <x v="0"/>
    <n v="11.390004494043801"/>
    <n v="0"/>
    <s v="Airport Security AnalysisExtra Bag Check Accum VA CostAccum VA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3"/>
    <x v="27"/>
    <x v="1"/>
    <x v="0"/>
    <n v="56.950022470218798"/>
    <n v="0"/>
    <s v="Airport Security AnalysisExtra Bag Check Accum VA TimeAccum VA TimeProcess"/>
    <n v="4"/>
    <n v="33.158536623728978"/>
    <n v="17.21570057971962"/>
    <n v="0.95"/>
    <n v="27.394021351399644"/>
    <n v="19.3526073170814"/>
    <n v="56.950022470218798"/>
  </r>
  <r>
    <x v="0"/>
    <s v="2023-06-19 11:25:12"/>
    <n v="3"/>
    <x v="28"/>
    <x v="15"/>
    <x v="0"/>
    <n v="0"/>
    <n v="0"/>
    <s v="Airport Security AnalysisExtra Bag Check Accum Wait CostAccum Wait CostProcess"/>
    <n v="4"/>
    <n v="0"/>
    <n v="0"/>
    <n v="0.95"/>
    <n v="0"/>
    <n v="0"/>
    <n v="0"/>
  </r>
  <r>
    <x v="0"/>
    <s v="2023-06-19 11:25:12"/>
    <n v="3"/>
    <x v="29"/>
    <x v="16"/>
    <x v="0"/>
    <n v="123.246876914268"/>
    <n v="0"/>
    <s v="Airport Security AnalysisExtra Bag Check Accum Wait TimeAccum Wait TimeProcess"/>
    <n v="4"/>
    <n v="176.41164102787997"/>
    <n v="81.720013644737534"/>
    <n v="0.95"/>
    <n v="130.03477774571456"/>
    <n v="96.9944662297289"/>
    <n v="275.19812426113498"/>
  </r>
  <r>
    <x v="0"/>
    <s v="2023-06-19 11:25:12"/>
    <n v="3"/>
    <x v="30"/>
    <x v="2"/>
    <x v="0"/>
    <n v="4"/>
    <n v="0"/>
    <s v="Airport Security AnalysisExtra Bag Check Number InNumber InProcess"/>
    <n v="4"/>
    <n v="3.75"/>
    <n v="1.2583057392117916"/>
    <n v="0.95"/>
    <n v="2.0022452253359253"/>
    <n v="2"/>
    <n v="5"/>
  </r>
  <r>
    <x v="0"/>
    <s v="2023-06-19 11:25:12"/>
    <n v="3"/>
    <x v="31"/>
    <x v="3"/>
    <x v="0"/>
    <n v="3"/>
    <n v="0"/>
    <s v="Airport Security AnalysisExtra Bag Check Number OutNumber OutProcess"/>
    <n v="4"/>
    <n v="3"/>
    <n v="0.81649658092772603"/>
    <n v="0.95"/>
    <n v="1.2992282636251109"/>
    <n v="2"/>
    <n v="4"/>
  </r>
  <r>
    <x v="0"/>
    <s v="2023-06-19 11:25:12"/>
    <n v="3"/>
    <x v="32"/>
    <x v="4"/>
    <x v="0"/>
    <n v="11.390004494043801"/>
    <n v="0"/>
    <s v="Airport Security AnalysisExtra Bag Check Total Accum CostTotal Accum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3"/>
    <x v="33"/>
    <x v="5"/>
    <x v="0"/>
    <n v="180.19689938448701"/>
    <n v="0"/>
    <s v="Airport Security AnalysisExtra Bag Check Total Accum TimeTotal Accum TimeProcess"/>
    <n v="4"/>
    <n v="209.57017765160899"/>
    <n v="81.85027903248286"/>
    <n v="0.95"/>
    <n v="130.24205904668281"/>
    <n v="116.34707354680999"/>
    <n v="309.79221392417901"/>
  </r>
  <r>
    <x v="0"/>
    <s v="2023-06-19 11:25:12"/>
    <n v="3"/>
    <x v="34"/>
    <x v="12"/>
    <x v="3"/>
    <n v="0"/>
    <n v="0"/>
    <s v="Airport Security AnalysisSecondary Screening Kit.BusyCostBusy CostResource"/>
    <n v="4"/>
    <n v="0"/>
    <n v="0"/>
    <n v="0.95"/>
    <n v="0"/>
    <n v="0"/>
    <n v="0"/>
  </r>
  <r>
    <x v="0"/>
    <s v="2023-06-19 11:25:12"/>
    <n v="3"/>
    <x v="35"/>
    <x v="13"/>
    <x v="3"/>
    <n v="0"/>
    <n v="0"/>
    <s v="Airport Security AnalysisSecondary Screening Kit.IdleCostIdle CostResource"/>
    <n v="4"/>
    <n v="0"/>
    <n v="0"/>
    <n v="0.95"/>
    <n v="0"/>
    <n v="0"/>
    <n v="0"/>
  </r>
  <r>
    <x v="0"/>
    <s v="2023-06-19 11:25:12"/>
    <n v="3"/>
    <x v="36"/>
    <x v="17"/>
    <x v="3"/>
    <n v="3"/>
    <n v="0"/>
    <s v="Airport Security AnalysisSecondary Screening Kit.NumberSeizedTotal Number SeizedResource"/>
    <n v="4"/>
    <n v="3"/>
    <n v="0.81649658092772603"/>
    <n v="0.95"/>
    <n v="1.2992282636251109"/>
    <n v="2"/>
    <n v="4"/>
  </r>
  <r>
    <x v="0"/>
    <s v="2023-06-19 11:25:12"/>
    <n v="3"/>
    <x v="37"/>
    <x v="18"/>
    <x v="3"/>
    <n v="0.10546300457447901"/>
    <n v="0"/>
    <s v="Airport Security AnalysisSecondary Screening Kit.ScheduledUtilizationScheduled UtilizationResource"/>
    <n v="4"/>
    <n v="6.1404697451349924E-2"/>
    <n v="3.1880926999480634E-2"/>
    <n v="0.95"/>
    <n v="5.0729669169258376E-2"/>
    <n v="3.5838161698299002E-2"/>
    <n v="0.10546300457447901"/>
  </r>
  <r>
    <x v="0"/>
    <s v="2023-06-19 11:25:12"/>
    <n v="3"/>
    <x v="38"/>
    <x v="14"/>
    <x v="3"/>
    <n v="0"/>
    <n v="0"/>
    <s v="Airport Security AnalysisSecondary Screening Kit.UsageCostUsage CostResource"/>
    <n v="4"/>
    <n v="0"/>
    <n v="0"/>
    <n v="0.95"/>
    <n v="0"/>
    <n v="0"/>
    <n v="0"/>
  </r>
  <r>
    <x v="0"/>
    <s v="2023-06-19 11:25:12"/>
    <n v="3"/>
    <x v="39"/>
    <x v="3"/>
    <x v="1"/>
    <n v="185"/>
    <n v="0"/>
    <s v="Airport Security AnalysisSystem.NumberOutNumber OutSystem"/>
    <n v="4"/>
    <n v="179.25"/>
    <n v="5.315072906367325"/>
    <n v="0.95"/>
    <n v="8.457467066591116"/>
    <n v="173"/>
    <n v="185"/>
  </r>
  <r>
    <x v="0"/>
    <s v="2023-06-19 11:25:12"/>
    <n v="3"/>
    <x v="40"/>
    <x v="8"/>
    <x v="1"/>
    <n v="215.71818218685601"/>
    <n v="0"/>
    <s v="Airport Security AnalysisSystem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3"/>
    <x v="41"/>
    <x v="12"/>
    <x v="3"/>
    <n v="215.56959882430399"/>
    <n v="0"/>
    <s v="Airport Security AnalysisTransportation Security Officer.BusyCostBusy CostResource"/>
    <n v="4"/>
    <n v="210.78541398558849"/>
    <n v="4.3015506850385421"/>
    <n v="0.95"/>
    <n v="6.8447270422957551"/>
    <n v="206.05792548363399"/>
    <n v="215.56959882430399"/>
  </r>
  <r>
    <x v="0"/>
    <s v="2023-06-19 11:25:12"/>
    <n v="3"/>
    <x v="42"/>
    <x v="13"/>
    <x v="3"/>
    <n v="0.14858336255221799"/>
    <n v="0"/>
    <s v="Airport Security AnalysisTransportation Security Officer.IdleCostIdle CostResource"/>
    <n v="4"/>
    <n v="4.2300500576210318"/>
    <n v="4.2363178600656441"/>
    <n v="0.95"/>
    <n v="6.7409270608866461"/>
    <n v="0.14858336255221799"/>
    <n v="9.34402440928719"/>
  </r>
  <r>
    <x v="0"/>
    <s v="2023-06-19 11:25:12"/>
    <n v="3"/>
    <x v="43"/>
    <x v="17"/>
    <x v="3"/>
    <n v="398"/>
    <n v="0"/>
    <s v="Airport Security AnalysisTransportation Security Officer.NumberSeizedTotal Number SeizedResource"/>
    <n v="4"/>
    <n v="401.75"/>
    <n v="2.9860788111948193"/>
    <n v="0.95"/>
    <n v="4.7515177399864594"/>
    <n v="398"/>
    <n v="405"/>
  </r>
  <r>
    <x v="0"/>
    <s v="2023-06-19 11:25:12"/>
    <n v="3"/>
    <x v="44"/>
    <x v="18"/>
    <x v="3"/>
    <n v="0.99931211406225795"/>
    <n v="0"/>
    <s v="Airport Security AnalysisTransportation Security Officer.ScheduledUtilizationScheduled UtilizationResource"/>
    <n v="4"/>
    <n v="0.98041643491842145"/>
    <n v="1.9612582685488503E-2"/>
    <n v="0.95"/>
    <n v="3.1207995652252053E-2"/>
    <n v="0.95674062773478297"/>
    <n v="0.99931211406225795"/>
  </r>
  <r>
    <x v="0"/>
    <s v="2023-06-19 11:25:12"/>
    <n v="3"/>
    <x v="45"/>
    <x v="14"/>
    <x v="3"/>
    <n v="0"/>
    <n v="0"/>
    <s v="Airport Security AnalysisTransportation Security Officer.UsageCostUsage CostResource"/>
    <n v="4"/>
    <n v="0"/>
    <n v="0"/>
    <n v="0.95"/>
    <n v="0"/>
    <n v="0"/>
    <n v="0"/>
  </r>
  <r>
    <x v="0"/>
    <s v="2023-06-19 11:25:12"/>
    <n v="3"/>
    <x v="46"/>
    <x v="0"/>
    <x v="0"/>
    <n v="131.578301359161"/>
    <n v="0"/>
    <s v="Airport Security AnalysisXray Baggage Check Accum VA CostAccum VA CostProcess"/>
    <n v="4"/>
    <n v="127.224941282769"/>
    <n v="4.2482705353357675"/>
    <n v="0.95"/>
    <n v="6.759946434512476"/>
    <n v="122.526469595731"/>
    <n v="131.578301359161"/>
  </r>
  <r>
    <x v="0"/>
    <s v="2023-06-19 11:25:12"/>
    <n v="3"/>
    <x v="47"/>
    <x v="1"/>
    <x v="0"/>
    <n v="657.89150679580598"/>
    <n v="0"/>
    <s v="Airport Security AnalysisXray Baggage Check Accum VA TimeAccum VA TimeProcess"/>
    <n v="4"/>
    <n v="636.1247064138455"/>
    <n v="21.241352676679028"/>
    <n v="0.95"/>
    <n v="33.799732172562685"/>
    <n v="612.63234797865698"/>
    <n v="657.89150679580598"/>
  </r>
  <r>
    <x v="0"/>
    <s v="2023-06-19 11:25:12"/>
    <n v="3"/>
    <x v="48"/>
    <x v="15"/>
    <x v="0"/>
    <n v="0"/>
    <n v="0"/>
    <s v="Airport Security AnalysisXray Baggage Check Accum Wait CostAccum Wait CostProcess"/>
    <n v="4"/>
    <n v="0"/>
    <n v="0"/>
    <n v="0.95"/>
    <n v="0"/>
    <n v="0"/>
    <n v="0"/>
  </r>
  <r>
    <x v="0"/>
    <s v="2023-06-19 11:25:12"/>
    <n v="3"/>
    <x v="49"/>
    <x v="16"/>
    <x v="0"/>
    <n v="9349.4160403197693"/>
    <n v="0"/>
    <s v="Airport Security AnalysisXray Baggage Check Accum Wait TimeAccum Wait TimeProcess"/>
    <n v="4"/>
    <n v="10257.343173692567"/>
    <n v="2550.6385043783166"/>
    <n v="0.95"/>
    <n v="4058.6350421865682"/>
    <n v="7661.1563493536996"/>
    <n v="13714.2968238091"/>
  </r>
  <r>
    <x v="0"/>
    <s v="2023-06-19 11:25:12"/>
    <n v="3"/>
    <x v="50"/>
    <x v="2"/>
    <x v="0"/>
    <n v="206"/>
    <n v="0"/>
    <s v="Airport Security AnalysisXray Baggage Check Number InNumber InProcess"/>
    <n v="4"/>
    <n v="216.25"/>
    <n v="9.1787798753429097"/>
    <n v="0.95"/>
    <n v="14.605487050648748"/>
    <n v="206"/>
    <n v="224"/>
  </r>
  <r>
    <x v="0"/>
    <s v="2023-06-19 11:25:12"/>
    <n v="3"/>
    <x v="51"/>
    <x v="3"/>
    <x v="0"/>
    <n v="179"/>
    <n v="0"/>
    <s v="Airport Security AnalysisXray Baggage Check Number OutNumber OutProcess"/>
    <n v="4"/>
    <n v="172.75"/>
    <n v="6.7019897542943667"/>
    <n v="0.95"/>
    <n v="10.664361265801686"/>
    <n v="166"/>
    <n v="179"/>
  </r>
  <r>
    <x v="0"/>
    <s v="2023-06-19 11:25:12"/>
    <n v="3"/>
    <x v="52"/>
    <x v="4"/>
    <x v="0"/>
    <n v="131.578301359161"/>
    <n v="0"/>
    <s v="Airport Security AnalysisXray Baggage Check Total Accum CostTotal Accum CostProcess"/>
    <n v="4"/>
    <n v="127.224941282769"/>
    <n v="4.2482705353357675"/>
    <n v="0.95"/>
    <n v="6.759946434512476"/>
    <n v="122.526469595731"/>
    <n v="131.578301359161"/>
  </r>
  <r>
    <x v="0"/>
    <s v="2023-06-19 11:25:12"/>
    <n v="3"/>
    <x v="53"/>
    <x v="5"/>
    <x v="0"/>
    <n v="10007.307547115601"/>
    <n v="0"/>
    <s v="Airport Security AnalysisXray Baggage Check Total Accum TimeTotal Accum TimeProcess"/>
    <n v="4"/>
    <n v="10893.46788010644"/>
    <n v="2562.1766713466454"/>
    <n v="0.95"/>
    <n v="4076.9948406056201"/>
    <n v="8273.7886973323602"/>
    <n v="14364.0595178896"/>
  </r>
  <r>
    <x v="0"/>
    <s v="2023-06-19 11:25:12"/>
    <n v="3"/>
    <x v="54"/>
    <x v="12"/>
    <x v="3"/>
    <n v="0"/>
    <n v="0"/>
    <s v="Airport Security AnalysisXray Machine.BusyCostBusy CostResource"/>
    <n v="4"/>
    <n v="0"/>
    <n v="0"/>
    <n v="0.95"/>
    <n v="0"/>
    <n v="0"/>
    <n v="0"/>
  </r>
  <r>
    <x v="0"/>
    <s v="2023-06-19 11:25:12"/>
    <n v="3"/>
    <x v="55"/>
    <x v="13"/>
    <x v="3"/>
    <n v="0"/>
    <n v="0"/>
    <s v="Airport Security AnalysisXray Machine.IdleCostIdle CostResource"/>
    <n v="4"/>
    <n v="0"/>
    <n v="0"/>
    <n v="0.95"/>
    <n v="0"/>
    <n v="0"/>
    <n v="0"/>
  </r>
  <r>
    <x v="0"/>
    <s v="2023-06-19 11:25:12"/>
    <n v="3"/>
    <x v="56"/>
    <x v="17"/>
    <x v="3"/>
    <n v="179"/>
    <n v="0"/>
    <s v="Airport Security AnalysisXray Machine.NumberSeizedTotal Number SeizedResource"/>
    <n v="4"/>
    <n v="173.75"/>
    <n v="6.6520673478250352"/>
    <n v="0.95"/>
    <n v="10.584923576792088"/>
    <n v="168"/>
    <n v="180"/>
  </r>
  <r>
    <x v="0"/>
    <s v="2023-06-19 11:25:12"/>
    <n v="3"/>
    <x v="57"/>
    <x v="18"/>
    <x v="3"/>
    <n v="0.60915880258870903"/>
    <n v="0"/>
    <s v="Airport Security AnalysisXray Machine.ScheduledUtilizationScheduled UtilizationResource"/>
    <n v="4"/>
    <n v="0.59254402897918601"/>
    <n v="2.0319404327018134E-2"/>
    <n v="0.95"/>
    <n v="3.2332706613042321E-2"/>
    <n v="0.56725217405431305"/>
    <n v="0.60915880258870903"/>
  </r>
  <r>
    <x v="0"/>
    <s v="2023-06-19 11:25:12"/>
    <n v="3"/>
    <x v="58"/>
    <x v="14"/>
    <x v="3"/>
    <n v="0"/>
    <n v="0"/>
    <s v="Airport Security AnalysisXray Machine.UsageCostUsage CostResource"/>
    <n v="4"/>
    <n v="0"/>
    <n v="0"/>
    <n v="0.95"/>
    <n v="0"/>
    <n v="0"/>
    <n v="0"/>
  </r>
  <r>
    <x v="0"/>
    <s v="2023-06-19 11:25:12"/>
    <n v="4"/>
    <x v="0"/>
    <x v="0"/>
    <x v="0"/>
    <n v="0"/>
    <n v="0"/>
    <s v="Airport Security AnalysisAdditional Security Check Accum VA CostAccum VA CostProcess"/>
    <n v="4"/>
    <n v="0"/>
    <n v="0"/>
    <n v="0.95"/>
    <n v="0"/>
    <n v="0"/>
    <n v="0"/>
  </r>
  <r>
    <x v="0"/>
    <s v="2023-06-19 11:25:12"/>
    <n v="4"/>
    <x v="1"/>
    <x v="1"/>
    <x v="0"/>
    <n v="98.950591933256206"/>
    <n v="0"/>
    <s v="Airport Security AnalysisAdditional Security Check Accum VA TimeAccum VA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4"/>
    <x v="2"/>
    <x v="2"/>
    <x v="0"/>
    <n v="16"/>
    <n v="0"/>
    <s v="Airport Security AnalysisAdditional Security Check Number InNumber InProcess"/>
    <n v="4"/>
    <n v="15"/>
    <n v="1.8257418583505538"/>
    <n v="0.95"/>
    <n v="2.905162715754765"/>
    <n v="13"/>
    <n v="17"/>
  </r>
  <r>
    <x v="0"/>
    <s v="2023-06-19 11:25:12"/>
    <n v="4"/>
    <x v="3"/>
    <x v="3"/>
    <x v="0"/>
    <n v="16"/>
    <n v="0"/>
    <s v="Airport Security AnalysisAdditional Security Check Number OutNumber OutProcess"/>
    <n v="4"/>
    <n v="14.5"/>
    <n v="1.9148542155126762"/>
    <n v="0.95"/>
    <n v="3.0469603616576246"/>
    <n v="12"/>
    <n v="16"/>
  </r>
  <r>
    <x v="0"/>
    <s v="2023-06-19 11:25:12"/>
    <n v="4"/>
    <x v="4"/>
    <x v="4"/>
    <x v="0"/>
    <n v="0"/>
    <n v="0"/>
    <s v="Airport Security AnalysisAdditional Security Check Total Accum CostTotal Accum CostProcess"/>
    <n v="4"/>
    <n v="0"/>
    <n v="0"/>
    <n v="0.95"/>
    <n v="0"/>
    <n v="0"/>
    <n v="0"/>
  </r>
  <r>
    <x v="0"/>
    <s v="2023-06-19 11:25:12"/>
    <n v="4"/>
    <x v="5"/>
    <x v="5"/>
    <x v="0"/>
    <n v="98.950591933256206"/>
    <n v="0"/>
    <s v="Airport Security AnalysisAdditional Security Check Total Accum TimeTotal Accum TimeProcess"/>
    <n v="4"/>
    <n v="88.003486580679507"/>
    <n v="10.627944107482914"/>
    <n v="0.95"/>
    <n v="16.911430728810377"/>
    <n v="73.798651806292298"/>
    <n v="98.950591933256206"/>
  </r>
  <r>
    <x v="0"/>
    <s v="2023-06-19 11:25:12"/>
    <n v="4"/>
    <x v="6"/>
    <x v="6"/>
    <x v="1"/>
    <n v="0"/>
    <n v="0"/>
    <s v="Airport Security AnalysisAll Entities.NVACostNVA CostSystem"/>
    <n v="4"/>
    <n v="0"/>
    <n v="0"/>
    <n v="0.95"/>
    <n v="0"/>
    <n v="0"/>
    <n v="0"/>
  </r>
  <r>
    <x v="0"/>
    <s v="2023-06-19 11:25:12"/>
    <n v="4"/>
    <x v="7"/>
    <x v="7"/>
    <x v="1"/>
    <n v="0"/>
    <n v="0"/>
    <s v="Airport Security AnalysisAll Entities.OtherCostOther CostSystem"/>
    <n v="4"/>
    <n v="0"/>
    <n v="0"/>
    <n v="0.95"/>
    <n v="0"/>
    <n v="0"/>
    <n v="0"/>
  </r>
  <r>
    <x v="0"/>
    <s v="2023-06-19 11:25:12"/>
    <n v="4"/>
    <x v="8"/>
    <x v="8"/>
    <x v="1"/>
    <n v="206.05792548363399"/>
    <n v="0"/>
    <s v="Airport Security AnalysisAll Entities.TotalCostTotal CostSystem"/>
    <n v="4"/>
    <n v="210.78541398558849"/>
    <n v="4.3015506850385421"/>
    <n v="0.95"/>
    <n v="6.8447270422957551"/>
    <n v="206.05792548363399"/>
    <n v="215.56959882430399"/>
  </r>
  <r>
    <x v="0"/>
    <s v="2023-06-19 11:25:12"/>
    <n v="4"/>
    <x v="9"/>
    <x v="9"/>
    <x v="1"/>
    <n v="0"/>
    <n v="0"/>
    <s v="Airport Security AnalysisAll Entities.TranCostTran CostSystem"/>
    <n v="4"/>
    <n v="0"/>
    <n v="0"/>
    <n v="0.95"/>
    <n v="0"/>
    <n v="0"/>
    <n v="0"/>
  </r>
  <r>
    <x v="0"/>
    <s v="2023-06-19 11:25:12"/>
    <n v="4"/>
    <x v="10"/>
    <x v="10"/>
    <x v="1"/>
    <n v="206.05792548363399"/>
    <n v="0"/>
    <s v="Airport Security AnalysisAll Entities.VACostVA CostSystem"/>
    <n v="4"/>
    <n v="210.78541398558849"/>
    <n v="4.3015506850385421"/>
    <n v="0.95"/>
    <n v="6.8447270422957551"/>
    <n v="206.05792548363399"/>
    <n v="215.56959882430399"/>
  </r>
  <r>
    <x v="0"/>
    <s v="2023-06-19 11:25:12"/>
    <n v="4"/>
    <x v="11"/>
    <x v="11"/>
    <x v="1"/>
    <n v="0"/>
    <n v="0"/>
    <s v="Airport Security AnalysisAll Entities.WaitCostWait CostSystem"/>
    <n v="4"/>
    <n v="0"/>
    <n v="0"/>
    <n v="0.95"/>
    <n v="0"/>
    <n v="0"/>
    <n v="0"/>
  </r>
  <r>
    <x v="0"/>
    <s v="2023-06-19 11:25:12"/>
    <n v="4"/>
    <x v="12"/>
    <x v="12"/>
    <x v="1"/>
    <n v="206.05792548363399"/>
    <n v="0"/>
    <s v="Airport Security AnalysisAll Resources.BusyCostBusy CostSystem"/>
    <n v="4"/>
    <n v="210.78541398558849"/>
    <n v="4.3015506850385421"/>
    <n v="0.95"/>
    <n v="6.8447270422957551"/>
    <n v="206.05792548363399"/>
    <n v="215.56959882430399"/>
  </r>
  <r>
    <x v="0"/>
    <s v="2023-06-19 11:25:12"/>
    <n v="4"/>
    <x v="13"/>
    <x v="13"/>
    <x v="1"/>
    <n v="9.34402440928719"/>
    <n v="0"/>
    <s v="Airport Security AnalysisAll Resources.IdleCostIdle CostSystem"/>
    <n v="4"/>
    <n v="4.2300500576210318"/>
    <n v="4.2363178600656441"/>
    <n v="0.95"/>
    <n v="6.7409270608866461"/>
    <n v="0.14858336255221799"/>
    <n v="9.34402440928719"/>
  </r>
  <r>
    <x v="0"/>
    <s v="2023-06-19 11:25:12"/>
    <n v="4"/>
    <x v="14"/>
    <x v="8"/>
    <x v="1"/>
    <n v="215.40194989292101"/>
    <n v="0"/>
    <s v="Airport Security AnalysisAll Resources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4"/>
    <x v="15"/>
    <x v="14"/>
    <x v="1"/>
    <n v="0"/>
    <n v="0"/>
    <s v="Airport Security AnalysisAll Resources.UsageCostUsage CostSystem"/>
    <n v="4"/>
    <n v="0"/>
    <n v="0"/>
    <n v="0.95"/>
    <n v="0"/>
    <n v="0"/>
    <n v="0"/>
  </r>
  <r>
    <x v="0"/>
    <s v="2023-06-19 11:25:12"/>
    <n v="4"/>
    <x v="16"/>
    <x v="0"/>
    <x v="0"/>
    <n v="79.660934424486001"/>
    <n v="0"/>
    <s v="Airport Security AnalysisCheck for Proper Identification Accum VA CostAccum VA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4"/>
    <x v="17"/>
    <x v="1"/>
    <x v="0"/>
    <n v="398.30467212243002"/>
    <n v="0"/>
    <s v="Airport Security AnalysisCheck for Proper Identification Accum VA TimeAccum VA TimeProcess"/>
    <n v="4"/>
    <n v="384.64382689036626"/>
    <n v="16.437445145210162"/>
    <n v="0.95"/>
    <n v="26.155643285338851"/>
    <n v="363.00646485549402"/>
    <n v="398.30467212243002"/>
  </r>
  <r>
    <x v="0"/>
    <s v="2023-06-19 11:25:12"/>
    <n v="4"/>
    <x v="18"/>
    <x v="15"/>
    <x v="0"/>
    <n v="0"/>
    <n v="0"/>
    <s v="Airport Security AnalysisCheck for Proper Identification Accum Wait CostAccum Wait CostProcess"/>
    <n v="4"/>
    <n v="0"/>
    <n v="0"/>
    <n v="0.95"/>
    <n v="0"/>
    <n v="0"/>
    <n v="0"/>
  </r>
  <r>
    <x v="0"/>
    <s v="2023-06-19 11:25:12"/>
    <n v="4"/>
    <x v="19"/>
    <x v="16"/>
    <x v="0"/>
    <n v="11006.7865087543"/>
    <n v="0"/>
    <s v="Airport Security AnalysisCheck for Proper Identification Accum Wait TimeAccum Wait TimeProcess"/>
    <n v="4"/>
    <n v="12692.581721271574"/>
    <n v="2222.7996146344935"/>
    <n v="0.95"/>
    <n v="3536.9702104897965"/>
    <n v="10542.4054832944"/>
    <n v="14613.0717473656"/>
  </r>
  <r>
    <x v="0"/>
    <s v="2023-06-19 11:25:12"/>
    <n v="4"/>
    <x v="20"/>
    <x v="2"/>
    <x v="0"/>
    <n v="283"/>
    <n v="0"/>
    <s v="Airport Security AnalysisCheck for Proper Identification Number InNumber InProcess"/>
    <n v="4"/>
    <n v="287"/>
    <n v="9.3452305125841235"/>
    <n v="0.95"/>
    <n v="14.870347158398957"/>
    <n v="276"/>
    <n v="297"/>
  </r>
  <r>
    <x v="0"/>
    <s v="2023-06-19 11:25:12"/>
    <n v="4"/>
    <x v="21"/>
    <x v="3"/>
    <x v="0"/>
    <n v="233"/>
    <n v="0"/>
    <s v="Airport Security AnalysisCheck for Proper Identification Number OutNumber OutProcess"/>
    <n v="4"/>
    <n v="224"/>
    <n v="9.8994949366116654"/>
    <n v="0.95"/>
    <n v="15.752305542597284"/>
    <n v="214"/>
    <n v="233"/>
  </r>
  <r>
    <x v="0"/>
    <s v="2023-06-19 11:25:12"/>
    <n v="4"/>
    <x v="22"/>
    <x v="4"/>
    <x v="0"/>
    <n v="79.660934424486001"/>
    <n v="0"/>
    <s v="Airport Security AnalysisCheck for Proper Identification Total Accum CostTotal Accum CostProcess"/>
    <n v="4"/>
    <n v="76.928765378073209"/>
    <n v="3.2874890290420833"/>
    <n v="0.95"/>
    <n v="5.2311286570678508"/>
    <n v="72.601292971098701"/>
    <n v="79.660934424486001"/>
  </r>
  <r>
    <x v="0"/>
    <s v="2023-06-19 11:25:12"/>
    <n v="4"/>
    <x v="23"/>
    <x v="5"/>
    <x v="0"/>
    <n v="11405.0911808768"/>
    <n v="0"/>
    <s v="Airport Security AnalysisCheck for Proper Identification Total Accum TimeTotal Accum TimeProcess"/>
    <n v="4"/>
    <n v="13077.22554816195"/>
    <n v="2228.6642699814252"/>
    <n v="0.95"/>
    <n v="3546.3021858600991"/>
    <n v="10905.4119481499"/>
    <n v="15004.5680408265"/>
  </r>
  <r>
    <x v="0"/>
    <s v="2023-06-19 11:25:12"/>
    <n v="4"/>
    <x v="24"/>
    <x v="2"/>
    <x v="2"/>
    <n v="283"/>
    <n v="0"/>
    <s v="Airport Security AnalysisEntity 1.NumberInNumber InEntity"/>
    <n v="4"/>
    <n v="287"/>
    <n v="9.3452305125841235"/>
    <n v="0.95"/>
    <n v="14.870347158398957"/>
    <n v="276"/>
    <n v="297"/>
  </r>
  <r>
    <x v="0"/>
    <s v="2023-06-19 11:25:12"/>
    <n v="4"/>
    <x v="25"/>
    <x v="3"/>
    <x v="2"/>
    <n v="177"/>
    <n v="0"/>
    <s v="Airport Security AnalysisEntity 1.NumberOutNumber OutEntity"/>
    <n v="4"/>
    <n v="179.25"/>
    <n v="5.315072906367325"/>
    <n v="0.95"/>
    <n v="8.457467066591116"/>
    <n v="173"/>
    <n v="185"/>
  </r>
  <r>
    <x v="0"/>
    <s v="2023-06-19 11:25:12"/>
    <n v="4"/>
    <x v="26"/>
    <x v="0"/>
    <x v="0"/>
    <n v="3.8705214634162899"/>
    <n v="0"/>
    <s v="Airport Security AnalysisExtra Bag Check Accum VA CostAccum VA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4"/>
    <x v="27"/>
    <x v="1"/>
    <x v="0"/>
    <n v="19.3526073170814"/>
    <n v="0"/>
    <s v="Airport Security AnalysisExtra Bag Check Accum VA TimeAccum VA TimeProcess"/>
    <n v="4"/>
    <n v="33.158536623728978"/>
    <n v="17.21570057971962"/>
    <n v="0.95"/>
    <n v="27.394021351399644"/>
    <n v="19.3526073170814"/>
    <n v="56.950022470218798"/>
  </r>
  <r>
    <x v="0"/>
    <s v="2023-06-19 11:25:12"/>
    <n v="4"/>
    <x v="28"/>
    <x v="15"/>
    <x v="0"/>
    <n v="0"/>
    <n v="0"/>
    <s v="Airport Security AnalysisExtra Bag Check Accum Wait CostAccum Wait CostProcess"/>
    <n v="4"/>
    <n v="0"/>
    <n v="0"/>
    <n v="0.95"/>
    <n v="0"/>
    <n v="0"/>
    <n v="0"/>
  </r>
  <r>
    <x v="0"/>
    <s v="2023-06-19 11:25:12"/>
    <n v="4"/>
    <x v="29"/>
    <x v="16"/>
    <x v="0"/>
    <n v="96.9944662297289"/>
    <n v="0"/>
    <s v="Airport Security AnalysisExtra Bag Check Accum Wait TimeAccum Wait TimeProcess"/>
    <n v="4"/>
    <n v="176.41164102787997"/>
    <n v="81.720013644737534"/>
    <n v="0.95"/>
    <n v="130.03477774571456"/>
    <n v="96.9944662297289"/>
    <n v="275.19812426113498"/>
  </r>
  <r>
    <x v="0"/>
    <s v="2023-06-19 11:25:12"/>
    <n v="4"/>
    <x v="30"/>
    <x v="2"/>
    <x v="0"/>
    <n v="2"/>
    <n v="0"/>
    <s v="Airport Security AnalysisExtra Bag Check Number InNumber InProcess"/>
    <n v="4"/>
    <n v="3.75"/>
    <n v="1.2583057392117916"/>
    <n v="0.95"/>
    <n v="2.0022452253359253"/>
    <n v="2"/>
    <n v="5"/>
  </r>
  <r>
    <x v="0"/>
    <s v="2023-06-19 11:25:12"/>
    <n v="4"/>
    <x v="31"/>
    <x v="3"/>
    <x v="0"/>
    <n v="2"/>
    <n v="0"/>
    <s v="Airport Security AnalysisExtra Bag Check Number OutNumber OutProcess"/>
    <n v="4"/>
    <n v="3"/>
    <n v="0.81649658092772603"/>
    <n v="0.95"/>
    <n v="1.2992282636251109"/>
    <n v="2"/>
    <n v="4"/>
  </r>
  <r>
    <x v="0"/>
    <s v="2023-06-19 11:25:12"/>
    <n v="4"/>
    <x v="32"/>
    <x v="4"/>
    <x v="0"/>
    <n v="3.8705214634162899"/>
    <n v="0"/>
    <s v="Airport Security AnalysisExtra Bag Check Total Accum CostTotal Accum CostProcess"/>
    <n v="4"/>
    <n v="6.6317073247458076"/>
    <n v="3.4431401159439399"/>
    <n v="0.95"/>
    <n v="5.4788042702799542"/>
    <n v="3.8705214634162899"/>
    <n v="11.390004494043801"/>
  </r>
  <r>
    <x v="0"/>
    <s v="2023-06-19 11:25:12"/>
    <n v="4"/>
    <x v="33"/>
    <x v="5"/>
    <x v="0"/>
    <n v="116.34707354680999"/>
    <n v="0"/>
    <s v="Airport Security AnalysisExtra Bag Check Total Accum TimeTotal Accum TimeProcess"/>
    <n v="4"/>
    <n v="209.57017765160899"/>
    <n v="81.85027903248286"/>
    <n v="0.95"/>
    <n v="130.24205904668281"/>
    <n v="116.34707354680999"/>
    <n v="309.79221392417901"/>
  </r>
  <r>
    <x v="0"/>
    <s v="2023-06-19 11:25:12"/>
    <n v="4"/>
    <x v="34"/>
    <x v="12"/>
    <x v="3"/>
    <n v="0"/>
    <n v="0"/>
    <s v="Airport Security AnalysisSecondary Screening Kit.BusyCostBusy CostResource"/>
    <n v="4"/>
    <n v="0"/>
    <n v="0"/>
    <n v="0.95"/>
    <n v="0"/>
    <n v="0"/>
    <n v="0"/>
  </r>
  <r>
    <x v="0"/>
    <s v="2023-06-19 11:25:12"/>
    <n v="4"/>
    <x v="35"/>
    <x v="13"/>
    <x v="3"/>
    <n v="0"/>
    <n v="0"/>
    <s v="Airport Security AnalysisSecondary Screening Kit.IdleCostIdle CostResource"/>
    <n v="4"/>
    <n v="0"/>
    <n v="0"/>
    <n v="0.95"/>
    <n v="0"/>
    <n v="0"/>
    <n v="0"/>
  </r>
  <r>
    <x v="0"/>
    <s v="2023-06-19 11:25:12"/>
    <n v="4"/>
    <x v="36"/>
    <x v="17"/>
    <x v="3"/>
    <n v="2"/>
    <n v="0"/>
    <s v="Airport Security AnalysisSecondary Screening Kit.NumberSeizedTotal Number SeizedResource"/>
    <n v="4"/>
    <n v="3"/>
    <n v="0.81649658092772603"/>
    <n v="0.95"/>
    <n v="1.2992282636251109"/>
    <n v="2"/>
    <n v="4"/>
  </r>
  <r>
    <x v="0"/>
    <s v="2023-06-19 11:25:12"/>
    <n v="4"/>
    <x v="37"/>
    <x v="18"/>
    <x v="3"/>
    <n v="3.5838161698299002E-2"/>
    <n v="0"/>
    <s v="Airport Security AnalysisSecondary Screening Kit.ScheduledUtilizationScheduled UtilizationResource"/>
    <n v="4"/>
    <n v="6.1404697451349924E-2"/>
    <n v="3.1880926999480634E-2"/>
    <n v="0.95"/>
    <n v="5.0729669169258376E-2"/>
    <n v="3.5838161698299002E-2"/>
    <n v="0.10546300457447901"/>
  </r>
  <r>
    <x v="0"/>
    <s v="2023-06-19 11:25:12"/>
    <n v="4"/>
    <x v="38"/>
    <x v="14"/>
    <x v="3"/>
    <n v="0"/>
    <n v="0"/>
    <s v="Airport Security AnalysisSecondary Screening Kit.UsageCostUsage CostResource"/>
    <n v="4"/>
    <n v="0"/>
    <n v="0"/>
    <n v="0.95"/>
    <n v="0"/>
    <n v="0"/>
    <n v="0"/>
  </r>
  <r>
    <x v="0"/>
    <s v="2023-06-19 11:25:12"/>
    <n v="4"/>
    <x v="39"/>
    <x v="3"/>
    <x v="1"/>
    <n v="177"/>
    <n v="0"/>
    <s v="Airport Security AnalysisSystem.NumberOutNumber OutSystem"/>
    <n v="4"/>
    <n v="179.25"/>
    <n v="5.315072906367325"/>
    <n v="0.95"/>
    <n v="8.457467066591116"/>
    <n v="173"/>
    <n v="185"/>
  </r>
  <r>
    <x v="0"/>
    <s v="2023-06-19 11:25:12"/>
    <n v="4"/>
    <x v="40"/>
    <x v="8"/>
    <x v="1"/>
    <n v="215.40194989292101"/>
    <n v="0"/>
    <s v="Airport Security AnalysisSystem.TotalCostTotal CostSystem"/>
    <n v="4"/>
    <n v="215.01546404320951"/>
    <n v="0.64228161231094227"/>
    <n v="0.95"/>
    <n v="1.0220133720253106"/>
    <n v="214.44626288468001"/>
    <n v="215.71818218685601"/>
  </r>
  <r>
    <x v="0"/>
    <s v="2023-06-19 11:25:12"/>
    <n v="4"/>
    <x v="41"/>
    <x v="12"/>
    <x v="3"/>
    <n v="206.05792548363399"/>
    <n v="0"/>
    <s v="Airport Security AnalysisTransportation Security Officer.BusyCostBusy CostResource"/>
    <n v="4"/>
    <n v="210.78541398558849"/>
    <n v="4.3015506850385421"/>
    <n v="0.95"/>
    <n v="6.8447270422957551"/>
    <n v="206.05792548363399"/>
    <n v="215.56959882430399"/>
  </r>
  <r>
    <x v="0"/>
    <s v="2023-06-19 11:25:12"/>
    <n v="4"/>
    <x v="42"/>
    <x v="13"/>
    <x v="3"/>
    <n v="9.34402440928719"/>
    <n v="0"/>
    <s v="Airport Security AnalysisTransportation Security Officer.IdleCostIdle CostResource"/>
    <n v="4"/>
    <n v="4.2300500576210318"/>
    <n v="4.2363178600656441"/>
    <n v="0.95"/>
    <n v="6.7409270608866461"/>
    <n v="0.14858336255221799"/>
    <n v="9.34402440928719"/>
  </r>
  <r>
    <x v="0"/>
    <s v="2023-06-19 11:25:12"/>
    <n v="4"/>
    <x v="43"/>
    <x v="17"/>
    <x v="3"/>
    <n v="405"/>
    <n v="0"/>
    <s v="Airport Security AnalysisTransportation Security Officer.NumberSeizedTotal Number SeizedResource"/>
    <n v="4"/>
    <n v="401.75"/>
    <n v="2.9860788111948193"/>
    <n v="0.95"/>
    <n v="4.7515177399864594"/>
    <n v="398"/>
    <n v="405"/>
  </r>
  <r>
    <x v="0"/>
    <s v="2023-06-19 11:25:12"/>
    <n v="4"/>
    <x v="44"/>
    <x v="18"/>
    <x v="3"/>
    <n v="0.95674062773478297"/>
    <n v="0"/>
    <s v="Airport Security AnalysisTransportation Security Officer.ScheduledUtilizationScheduled UtilizationResource"/>
    <n v="4"/>
    <n v="0.98041643491842145"/>
    <n v="1.9612582685488503E-2"/>
    <n v="0.95"/>
    <n v="3.1207995652252053E-2"/>
    <n v="0.95674062773478297"/>
    <n v="0.99931211406225795"/>
  </r>
  <r>
    <x v="0"/>
    <s v="2023-06-19 11:25:12"/>
    <n v="4"/>
    <x v="45"/>
    <x v="14"/>
    <x v="3"/>
    <n v="0"/>
    <n v="0"/>
    <s v="Airport Security AnalysisTransportation Security Officer.UsageCostUsage CostResource"/>
    <n v="4"/>
    <n v="0"/>
    <n v="0"/>
    <n v="0.95"/>
    <n v="0"/>
    <n v="0"/>
    <n v="0"/>
  </r>
  <r>
    <x v="0"/>
    <s v="2023-06-19 11:25:12"/>
    <n v="4"/>
    <x v="46"/>
    <x v="0"/>
    <x v="0"/>
    <n v="122.526469595731"/>
    <n v="0"/>
    <s v="Airport Security AnalysisXray Baggage Check Accum VA CostAccum VA CostProcess"/>
    <n v="4"/>
    <n v="127.224941282769"/>
    <n v="4.2482705353357675"/>
    <n v="0.95"/>
    <n v="6.759946434512476"/>
    <n v="122.526469595731"/>
    <n v="131.578301359161"/>
  </r>
  <r>
    <x v="0"/>
    <s v="2023-06-19 11:25:12"/>
    <n v="4"/>
    <x v="47"/>
    <x v="1"/>
    <x v="0"/>
    <n v="612.63234797865698"/>
    <n v="0"/>
    <s v="Airport Security AnalysisXray Baggage Check Accum VA TimeAccum VA TimeProcess"/>
    <n v="4"/>
    <n v="636.1247064138455"/>
    <n v="21.241352676679028"/>
    <n v="0.95"/>
    <n v="33.799732172562685"/>
    <n v="612.63234797865698"/>
    <n v="657.89150679580598"/>
  </r>
  <r>
    <x v="0"/>
    <s v="2023-06-19 11:25:12"/>
    <n v="4"/>
    <x v="48"/>
    <x v="15"/>
    <x v="0"/>
    <n v="0"/>
    <n v="0"/>
    <s v="Airport Security AnalysisXray Baggage Check Accum Wait CostAccum Wait CostProcess"/>
    <n v="4"/>
    <n v="0"/>
    <n v="0"/>
    <n v="0.95"/>
    <n v="0"/>
    <n v="0"/>
    <n v="0"/>
  </r>
  <r>
    <x v="0"/>
    <s v="2023-06-19 11:25:12"/>
    <n v="4"/>
    <x v="49"/>
    <x v="16"/>
    <x v="0"/>
    <n v="7661.1563493536996"/>
    <n v="0"/>
    <s v="Airport Security AnalysisXray Baggage Check Accum Wait TimeAccum Wait TimeProcess"/>
    <n v="4"/>
    <n v="10257.343173692567"/>
    <n v="2550.6385043783166"/>
    <n v="0.95"/>
    <n v="4058.6350421865682"/>
    <n v="7661.1563493536996"/>
    <n v="13714.2968238091"/>
  </r>
  <r>
    <x v="0"/>
    <s v="2023-06-19 11:25:12"/>
    <n v="4"/>
    <x v="50"/>
    <x v="2"/>
    <x v="0"/>
    <n v="224"/>
    <n v="0"/>
    <s v="Airport Security AnalysisXray Baggage Check Number InNumber InProcess"/>
    <n v="4"/>
    <n v="216.25"/>
    <n v="9.1787798753429097"/>
    <n v="0.95"/>
    <n v="14.605487050648748"/>
    <n v="206"/>
    <n v="224"/>
  </r>
  <r>
    <x v="0"/>
    <s v="2023-06-19 11:25:12"/>
    <n v="4"/>
    <x v="51"/>
    <x v="3"/>
    <x v="0"/>
    <n v="168"/>
    <n v="0"/>
    <s v="Airport Security AnalysisXray Baggage Check Number OutNumber OutProcess"/>
    <n v="4"/>
    <n v="172.75"/>
    <n v="6.7019897542943667"/>
    <n v="0.95"/>
    <n v="10.664361265801686"/>
    <n v="166"/>
    <n v="179"/>
  </r>
  <r>
    <x v="0"/>
    <s v="2023-06-19 11:25:12"/>
    <n v="4"/>
    <x v="52"/>
    <x v="4"/>
    <x v="0"/>
    <n v="122.526469595731"/>
    <n v="0"/>
    <s v="Airport Security AnalysisXray Baggage Check Total Accum CostTotal Accum CostProcess"/>
    <n v="4"/>
    <n v="127.224941282769"/>
    <n v="4.2482705353357675"/>
    <n v="0.95"/>
    <n v="6.759946434512476"/>
    <n v="122.526469595731"/>
    <n v="131.578301359161"/>
  </r>
  <r>
    <x v="0"/>
    <s v="2023-06-19 11:25:12"/>
    <n v="4"/>
    <x v="53"/>
    <x v="5"/>
    <x v="0"/>
    <n v="8273.7886973323602"/>
    <n v="0"/>
    <s v="Airport Security AnalysisXray Baggage Check Total Accum TimeTotal Accum TimeProcess"/>
    <n v="4"/>
    <n v="10893.46788010644"/>
    <n v="2562.1766713466454"/>
    <n v="0.95"/>
    <n v="4076.9948406056201"/>
    <n v="8273.7886973323602"/>
    <n v="14364.0595178896"/>
  </r>
  <r>
    <x v="0"/>
    <s v="2023-06-19 11:25:12"/>
    <n v="4"/>
    <x v="54"/>
    <x v="12"/>
    <x v="3"/>
    <n v="0"/>
    <n v="0"/>
    <s v="Airport Security AnalysisXray Machine.BusyCostBusy CostResource"/>
    <n v="4"/>
    <n v="0"/>
    <n v="0"/>
    <n v="0.95"/>
    <n v="0"/>
    <n v="0"/>
    <n v="0"/>
  </r>
  <r>
    <x v="0"/>
    <s v="2023-06-19 11:25:12"/>
    <n v="4"/>
    <x v="55"/>
    <x v="13"/>
    <x v="3"/>
    <n v="0"/>
    <n v="0"/>
    <s v="Airport Security AnalysisXray Machine.IdleCostIdle CostResource"/>
    <n v="4"/>
    <n v="0"/>
    <n v="0"/>
    <n v="0.95"/>
    <n v="0"/>
    <n v="0"/>
    <n v="0"/>
  </r>
  <r>
    <x v="0"/>
    <s v="2023-06-19 11:25:12"/>
    <n v="4"/>
    <x v="56"/>
    <x v="17"/>
    <x v="3"/>
    <n v="168"/>
    <n v="0"/>
    <s v="Airport Security AnalysisXray Machine.NumberSeizedTotal Number SeizedResource"/>
    <n v="4"/>
    <n v="173.75"/>
    <n v="6.6520673478250352"/>
    <n v="0.95"/>
    <n v="10.584923576792088"/>
    <n v="168"/>
    <n v="180"/>
  </r>
  <r>
    <x v="0"/>
    <s v="2023-06-19 11:25:12"/>
    <n v="4"/>
    <x v="57"/>
    <x v="18"/>
    <x v="3"/>
    <n v="0.56725217405431305"/>
    <n v="0"/>
    <s v="Airport Security AnalysisXray Machine.ScheduledUtilizationScheduled UtilizationResource"/>
    <n v="4"/>
    <n v="0.59254402897918601"/>
    <n v="2.0319404327018134E-2"/>
    <n v="0.95"/>
    <n v="3.2332706613042321E-2"/>
    <n v="0.56725217405431305"/>
    <n v="0.60915880258870903"/>
  </r>
  <r>
    <x v="0"/>
    <s v="2023-06-19 11:25:12"/>
    <n v="4"/>
    <x v="58"/>
    <x v="14"/>
    <x v="3"/>
    <n v="0"/>
    <n v="0"/>
    <s v="Airport Security AnalysisXray Machine.UsageCostUsage CostResource"/>
    <n v="4"/>
    <n v="0"/>
    <n v="0"/>
    <n v="0.95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1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42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8"/>
        <item m="1" x="41"/>
        <item m="1" x="13"/>
        <item m="1" x="93"/>
        <item m="1" x="76"/>
        <item m="1" x="46"/>
        <item m="1" x="102"/>
        <item m="1" x="34"/>
        <item m="1" x="38"/>
        <item x="3"/>
        <item m="1" x="71"/>
        <item m="1" x="83"/>
        <item m="1" x="88"/>
        <item m="1" x="12"/>
        <item m="1" x="40"/>
        <item m="1" x="30"/>
        <item m="1" x="105"/>
        <item m="1" x="100"/>
        <item m="1" x="28"/>
        <item m="1" x="22"/>
        <item m="1" x="94"/>
        <item m="1" x="14"/>
        <item m="1" x="47"/>
        <item m="1" x="33"/>
        <item m="1" x="58"/>
        <item m="1" x="85"/>
        <item m="1" x="49"/>
        <item m="1" x="19"/>
        <item m="1" x="43"/>
        <item m="1" x="72"/>
        <item m="1" x="62"/>
        <item m="1" x="20"/>
        <item m="1" x="79"/>
        <item m="1" x="11"/>
        <item m="1" x="99"/>
        <item m="1" x="67"/>
        <item m="1" x="87"/>
        <item m="1" x="42"/>
        <item m="1" x="101"/>
        <item m="1" x="70"/>
        <item m="1" x="24"/>
        <item m="1" x="61"/>
        <item m="1" x="75"/>
        <item m="1" x="86"/>
        <item m="1" x="92"/>
        <item m="1" x="10"/>
        <item m="1" x="23"/>
        <item m="1" x="32"/>
        <item m="1" x="25"/>
        <item m="1" x="9"/>
        <item m="1" x="84"/>
        <item m="1" x="96"/>
        <item m="1" x="36"/>
        <item m="1" x="66"/>
        <item m="1" x="27"/>
        <item m="1" x="44"/>
        <item m="1" x="31"/>
        <item m="1" x="52"/>
        <item m="1" x="39"/>
        <item m="1" x="59"/>
        <item m="1" x="45"/>
        <item m="1" x="68"/>
        <item m="1" x="53"/>
        <item m="1" x="73"/>
        <item m="1" x="60"/>
        <item m="1" x="81"/>
        <item m="1" x="74"/>
        <item m="1" x="89"/>
        <item m="1" x="97"/>
        <item m="1" x="77"/>
        <item m="1" x="56"/>
        <item m="1" x="37"/>
        <item m="1" x="50"/>
        <item m="1" x="21"/>
        <item m="1" x="26"/>
        <item m="1" x="35"/>
        <item m="1" x="63"/>
        <item m="1" x="98"/>
        <item m="1" x="91"/>
        <item m="1" x="78"/>
        <item m="1" x="51"/>
        <item m="1" x="64"/>
        <item m="1" x="55"/>
        <item m="1" x="80"/>
        <item m="1" x="65"/>
        <item m="1" x="48"/>
        <item m="1" x="54"/>
        <item m="1" x="17"/>
        <item m="1" x="57"/>
        <item m="1" x="69"/>
        <item m="1" x="82"/>
        <item m="1" x="90"/>
        <item m="1" x="95"/>
        <item m="1" x="104"/>
        <item m="1" x="15"/>
        <item m="1" x="29"/>
        <item m="1" x="103"/>
        <item m="1" x="16"/>
        <item m="1" x="8"/>
        <item x="0"/>
        <item x="1"/>
        <item x="2"/>
        <item x="4"/>
        <item x="5"/>
        <item x="6"/>
        <item x="7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40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2"/>
      <x v="3"/>
    </i>
    <i r="2">
      <x v="13"/>
      <x v="3"/>
    </i>
    <i r="1">
      <x v="100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1"/>
      <x v="7"/>
      <x v="1"/>
    </i>
    <i r="2">
      <x v="15"/>
      <x v="1"/>
    </i>
    <i r="1">
      <x v="102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3"/>
      <x v="7"/>
      <x v="1"/>
    </i>
    <i r="2">
      <x v="15"/>
      <x v="1"/>
    </i>
    <i r="1">
      <x v="104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5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1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61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5">
        <item m="1" x="84"/>
        <item m="1" x="60"/>
        <item m="1" x="85"/>
        <item m="1" x="61"/>
        <item m="1" x="86"/>
        <item m="1" x="62"/>
        <item m="1" x="87"/>
        <item m="1" x="63"/>
        <item m="1" x="119"/>
        <item m="1" x="74"/>
        <item x="39"/>
        <item m="1" x="118"/>
        <item m="1" x="105"/>
        <item m="1" x="122"/>
        <item m="1" x="107"/>
        <item x="24"/>
        <item x="25"/>
        <item m="1" x="99"/>
        <item m="1" x="67"/>
        <item m="1" x="116"/>
        <item m="1" x="106"/>
        <item m="1" x="104"/>
        <item m="1" x="70"/>
        <item m="1" x="114"/>
        <item m="1" x="79"/>
        <item m="1" x="115"/>
        <item m="1" x="80"/>
        <item m="1" x="113"/>
        <item m="1" x="131"/>
        <item m="1" x="73"/>
        <item m="1" x="134"/>
        <item m="1" x="101"/>
        <item m="1" x="68"/>
        <item m="1" x="129"/>
        <item m="1" x="125"/>
        <item m="1" x="102"/>
        <item m="1" x="69"/>
        <item m="1" x="130"/>
        <item m="1" x="126"/>
        <item m="1" x="64"/>
        <item m="1" x="98"/>
        <item m="1" x="82"/>
        <item m="1" x="72"/>
        <item m="1" x="123"/>
        <item m="1" x="94"/>
        <item m="1" x="124"/>
        <item m="1" x="95"/>
        <item m="1" x="81"/>
        <item m="1" x="76"/>
        <item m="1" x="103"/>
        <item m="1" x="78"/>
        <item m="1" x="133"/>
        <item m="1" x="127"/>
        <item m="1" x="77"/>
        <item m="1" x="75"/>
        <item m="1" x="120"/>
        <item m="1" x="128"/>
        <item m="1" x="65"/>
        <item m="1" x="83"/>
        <item m="1" x="96"/>
        <item m="1" x="117"/>
        <item m="1" x="132"/>
        <item m="1" x="66"/>
        <item m="1" x="93"/>
        <item m="1" x="97"/>
        <item m="1" x="121"/>
        <item m="1" x="100"/>
        <item m="1" x="71"/>
        <item m="1" x="88"/>
        <item m="1" x="108"/>
        <item m="1" x="89"/>
        <item m="1" x="109"/>
        <item m="1" x="90"/>
        <item m="1" x="110"/>
        <item m="1" x="91"/>
        <item m="1" x="111"/>
        <item m="1" x="92"/>
        <item m="1" x="112"/>
        <item m="1" x="5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axis="axisRow" compact="0" outline="0" showAll="0" defaultSubtotal="0">
      <items count="20">
        <item x="2"/>
        <item x="3"/>
        <item x="18"/>
        <item x="17"/>
        <item x="1"/>
        <item x="16"/>
        <item m="1" x="19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9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/>
      <x v="3"/>
    </i>
    <i r="1">
      <x v="82"/>
      <x v="1"/>
      <x v="3"/>
    </i>
    <i r="1">
      <x v="83"/>
      <x v="8"/>
      <x v="3"/>
    </i>
    <i r="1">
      <x v="84"/>
      <x v="9"/>
      <x v="3"/>
    </i>
    <i r="1">
      <x v="85"/>
      <x v="10"/>
      <x v="2"/>
    </i>
    <i r="1">
      <x v="86"/>
      <x v="11"/>
      <x v="2"/>
    </i>
    <i r="1">
      <x v="87"/>
      <x v="12"/>
      <x v="2"/>
    </i>
    <i r="1">
      <x v="88"/>
      <x v="13"/>
      <x v="2"/>
    </i>
    <i r="1">
      <x v="89"/>
      <x v="14"/>
      <x v="2"/>
    </i>
    <i r="1">
      <x v="90"/>
      <x v="15"/>
      <x v="2"/>
    </i>
    <i r="1">
      <x v="91"/>
      <x v="16"/>
      <x v="2"/>
    </i>
    <i r="1">
      <x v="92"/>
      <x v="17"/>
      <x v="2"/>
    </i>
    <i r="1">
      <x v="93"/>
      <x v="12"/>
      <x v="2"/>
    </i>
    <i r="1">
      <x v="94"/>
      <x v="18"/>
      <x v="2"/>
    </i>
    <i r="1">
      <x v="95"/>
      <x v="7"/>
      <x v="3"/>
    </i>
    <i r="1">
      <x v="96"/>
      <x v="4"/>
      <x v="3"/>
    </i>
    <i r="1">
      <x v="97"/>
      <x v="19"/>
      <x v="3"/>
    </i>
    <i r="1">
      <x v="98"/>
      <x v="5"/>
      <x v="3"/>
    </i>
    <i r="1">
      <x v="99"/>
      <x/>
      <x v="3"/>
    </i>
    <i r="1">
      <x v="100"/>
      <x v="1"/>
      <x v="3"/>
    </i>
    <i r="1">
      <x v="101"/>
      <x v="8"/>
      <x v="3"/>
    </i>
    <i r="1">
      <x v="102"/>
      <x v="9"/>
      <x v="3"/>
    </i>
    <i r="1">
      <x v="103"/>
      <x v="7"/>
      <x v="3"/>
    </i>
    <i r="1">
      <x v="104"/>
      <x v="4"/>
      <x v="3"/>
    </i>
    <i r="1">
      <x v="105"/>
      <x v="19"/>
      <x v="3"/>
    </i>
    <i r="1">
      <x v="106"/>
      <x v="5"/>
      <x v="3"/>
    </i>
    <i r="1">
      <x v="107"/>
      <x/>
      <x v="3"/>
    </i>
    <i r="1">
      <x v="108"/>
      <x v="1"/>
      <x v="3"/>
    </i>
    <i r="1">
      <x v="109"/>
      <x v="8"/>
      <x v="3"/>
    </i>
    <i r="1">
      <x v="110"/>
      <x v="9"/>
      <x v="3"/>
    </i>
    <i r="1">
      <x v="111"/>
      <x v="16"/>
      <x v="1"/>
    </i>
    <i r="1">
      <x v="112"/>
      <x v="17"/>
      <x v="1"/>
    </i>
    <i r="1">
      <x v="113"/>
      <x v="3"/>
      <x v="1"/>
    </i>
    <i r="1">
      <x v="114"/>
      <x v="2"/>
      <x v="1"/>
    </i>
    <i r="1">
      <x v="115"/>
      <x v="18"/>
      <x v="1"/>
    </i>
    <i r="1">
      <x v="116"/>
      <x v="12"/>
      <x v="2"/>
    </i>
    <i r="1">
      <x v="117"/>
      <x v="16"/>
      <x v="1"/>
    </i>
    <i r="1">
      <x v="118"/>
      <x v="17"/>
      <x v="1"/>
    </i>
    <i r="1">
      <x v="119"/>
      <x v="3"/>
      <x v="1"/>
    </i>
    <i r="1">
      <x v="120"/>
      <x v="2"/>
      <x v="1"/>
    </i>
    <i r="1">
      <x v="121"/>
      <x v="18"/>
      <x v="1"/>
    </i>
    <i r="1">
      <x v="122"/>
      <x v="7"/>
      <x v="3"/>
    </i>
    <i r="1">
      <x v="123"/>
      <x v="4"/>
      <x v="3"/>
    </i>
    <i r="1">
      <x v="124"/>
      <x v="19"/>
      <x v="3"/>
    </i>
    <i r="1">
      <x v="125"/>
      <x v="5"/>
      <x v="3"/>
    </i>
    <i r="1">
      <x v="126"/>
      <x/>
      <x v="3"/>
    </i>
    <i r="1">
      <x v="127"/>
      <x v="1"/>
      <x v="3"/>
    </i>
    <i r="1">
      <x v="128"/>
      <x v="8"/>
      <x v="3"/>
    </i>
    <i r="1">
      <x v="129"/>
      <x v="9"/>
      <x v="3"/>
    </i>
    <i r="1">
      <x v="130"/>
      <x v="16"/>
      <x v="1"/>
    </i>
    <i r="1">
      <x v="131"/>
      <x v="17"/>
      <x v="1"/>
    </i>
    <i r="1">
      <x v="132"/>
      <x v="3"/>
      <x v="1"/>
    </i>
    <i r="1">
      <x v="133"/>
      <x v="2"/>
      <x v="1"/>
    </i>
    <i r="1">
      <x v="134"/>
      <x v="18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2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61" tableType="queryTable" totalsRowShown="0">
  <autoFilter ref="A1:Y161" xr:uid="{C3D003CA-1AFF-426C-A03D-D3AF5760DF1A}"/>
  <sortState xmlns:xlrd2="http://schemas.microsoft.com/office/spreadsheetml/2017/richdata2" ref="A2:Y161">
    <sortCondition ref="D1:D16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53" tableType="queryTable" totalsRowShown="0">
  <autoFilter ref="A1:U53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37" tableType="queryTable" totalsRowShown="0">
  <autoFilter ref="A1:P237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7" sqref="B7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4</v>
      </c>
      <c r="F2">
        <v>540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61"/>
  <sheetViews>
    <sheetView tabSelected="1" workbookViewId="0">
      <selection activeCell="E7" sqref="E7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84</v>
      </c>
      <c r="C3" t="s">
        <v>87</v>
      </c>
      <c r="D3" t="s">
        <v>86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179.25</v>
      </c>
      <c r="O3" t="s">
        <v>68</v>
      </c>
      <c r="P3" t="s">
        <v>84</v>
      </c>
      <c r="Q3" t="s">
        <v>103</v>
      </c>
      <c r="R3" t="s">
        <v>86</v>
      </c>
      <c r="S3" s="5">
        <v>56.431991726226869</v>
      </c>
      <c r="T3" s="5">
        <v>17.920353131472993</v>
      </c>
      <c r="U3" s="5">
        <v>11.261998734571224</v>
      </c>
      <c r="V3" s="5">
        <v>45.953353594928203</v>
      </c>
      <c r="W3" s="5">
        <v>68.249957102483094</v>
      </c>
      <c r="X3" s="5">
        <v>0</v>
      </c>
      <c r="Y3" s="5">
        <v>129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165</v>
      </c>
      <c r="AM3" t="s">
        <v>118</v>
      </c>
      <c r="AN3" t="s">
        <v>124</v>
      </c>
      <c r="AO3" s="5">
        <v>179.25</v>
      </c>
      <c r="AP3" s="5">
        <v>8.457467066591116</v>
      </c>
      <c r="AQ3" s="5">
        <v>5.315072906367325</v>
      </c>
      <c r="AR3" s="5">
        <v>173</v>
      </c>
      <c r="AS3" s="5">
        <v>185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89</v>
      </c>
      <c r="D4" t="s">
        <v>86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179.25</v>
      </c>
      <c r="P4" t="s">
        <v>80</v>
      </c>
      <c r="Q4" t="s">
        <v>102</v>
      </c>
      <c r="R4" t="s">
        <v>82</v>
      </c>
      <c r="S4" s="5">
        <v>30.091507461772249</v>
      </c>
      <c r="T4" s="5">
        <v>9.0438731469562157</v>
      </c>
      <c r="U4" s="5">
        <v>5.6835982633491593</v>
      </c>
      <c r="V4" s="5">
        <v>24.729699312091199</v>
      </c>
      <c r="W4" s="5">
        <v>35.4658264126085</v>
      </c>
      <c r="X4" s="5">
        <v>0</v>
      </c>
      <c r="Y4" s="5">
        <v>75</v>
      </c>
      <c r="AL4" t="s">
        <v>148</v>
      </c>
      <c r="AM4" t="s">
        <v>116</v>
      </c>
      <c r="AN4" t="s">
        <v>86</v>
      </c>
      <c r="AO4" s="5">
        <v>287</v>
      </c>
      <c r="AP4" s="5">
        <v>14.870347158398957</v>
      </c>
      <c r="AQ4" s="5">
        <v>9.3452305125841235</v>
      </c>
      <c r="AR4" s="5">
        <v>276</v>
      </c>
      <c r="AS4" s="5">
        <v>297</v>
      </c>
    </row>
    <row r="5" spans="1:52" x14ac:dyDescent="0.25">
      <c r="C5" t="s">
        <v>91</v>
      </c>
      <c r="D5" t="s">
        <v>86</v>
      </c>
      <c r="E5" s="5">
        <v>109.32912949002406</v>
      </c>
      <c r="F5" s="5">
        <v>1</v>
      </c>
      <c r="G5" s="5">
        <v>35.359352100751067</v>
      </c>
      <c r="H5" s="5">
        <v>22.221491713494196</v>
      </c>
      <c r="I5" s="5">
        <v>87.617139838625505</v>
      </c>
      <c r="J5" s="5">
        <v>139.32738560479001</v>
      </c>
      <c r="K5" s="5">
        <v>1.6609824237975099</v>
      </c>
      <c r="L5" s="5">
        <v>263.75396354921901</v>
      </c>
      <c r="M5" s="5">
        <v>179.25</v>
      </c>
      <c r="P5" t="s">
        <v>99</v>
      </c>
      <c r="Q5" t="s">
        <v>102</v>
      </c>
      <c r="R5" t="s">
        <v>82</v>
      </c>
      <c r="S5" s="5">
        <v>0.40679152876095698</v>
      </c>
      <c r="T5" s="5">
        <v>0.3567820550230944</v>
      </c>
      <c r="U5" s="5">
        <v>0.22421874294044883</v>
      </c>
      <c r="V5" s="5">
        <v>0.17961938190690499</v>
      </c>
      <c r="W5" s="5">
        <v>0.69598373454204898</v>
      </c>
      <c r="X5" s="5">
        <v>0</v>
      </c>
      <c r="Y5" s="5">
        <v>2</v>
      </c>
      <c r="AL5" t="s">
        <v>149</v>
      </c>
      <c r="AM5" t="s">
        <v>118</v>
      </c>
      <c r="AN5" t="s">
        <v>86</v>
      </c>
      <c r="AO5" s="5">
        <v>179.25</v>
      </c>
      <c r="AP5" s="5">
        <v>8.457467066591116</v>
      </c>
      <c r="AQ5" s="5">
        <v>5.315072906367325</v>
      </c>
      <c r="AR5" s="5">
        <v>173</v>
      </c>
      <c r="AS5" s="5">
        <v>185</v>
      </c>
    </row>
    <row r="6" spans="1:52" x14ac:dyDescent="0.25">
      <c r="C6" t="s">
        <v>93</v>
      </c>
      <c r="D6" t="s">
        <v>86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179.25</v>
      </c>
      <c r="P6" t="s">
        <v>104</v>
      </c>
      <c r="Q6" t="s">
        <v>105</v>
      </c>
      <c r="R6" t="s">
        <v>106</v>
      </c>
      <c r="S6" s="5">
        <v>6.1404697451349924E-2</v>
      </c>
      <c r="T6" s="5">
        <v>5.0729669169258376E-2</v>
      </c>
      <c r="U6" s="5">
        <v>3.1880926999480634E-2</v>
      </c>
      <c r="V6" s="5">
        <v>3.5838161698299002E-2</v>
      </c>
      <c r="W6" s="5">
        <v>0.10546300457447901</v>
      </c>
      <c r="X6" s="5">
        <v>0</v>
      </c>
      <c r="Y6" s="5">
        <v>1</v>
      </c>
      <c r="AL6" t="s">
        <v>111</v>
      </c>
      <c r="AM6" t="s">
        <v>112</v>
      </c>
      <c r="AN6" t="s">
        <v>73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25">
      <c r="C7" t="s">
        <v>95</v>
      </c>
      <c r="D7" t="s">
        <v>86</v>
      </c>
      <c r="E7" s="5">
        <v>5.9199498486403952</v>
      </c>
      <c r="F7" s="5">
        <v>1</v>
      </c>
      <c r="G7" s="5">
        <v>9.0567938090690456E-2</v>
      </c>
      <c r="H7" s="5">
        <v>5.6917182194290962E-2</v>
      </c>
      <c r="I7" s="5">
        <v>5.8524378832429198</v>
      </c>
      <c r="J7" s="5">
        <v>5.9906089248495</v>
      </c>
      <c r="K7" s="5">
        <v>1.00943713548031</v>
      </c>
      <c r="L7" s="5">
        <v>25.703581364957799</v>
      </c>
      <c r="M7" s="5">
        <v>179.25</v>
      </c>
      <c r="Q7" t="s">
        <v>107</v>
      </c>
      <c r="R7" t="s">
        <v>106</v>
      </c>
      <c r="S7" s="5">
        <v>6.1404697451349924E-2</v>
      </c>
      <c r="T7" s="5">
        <v>5.0729669169258376E-2</v>
      </c>
      <c r="U7" s="5">
        <v>3.1880926999480634E-2</v>
      </c>
      <c r="V7" s="5">
        <v>3.5838161698299002E-2</v>
      </c>
      <c r="W7" s="5">
        <v>0.10546300457447901</v>
      </c>
      <c r="X7" s="5">
        <v>0</v>
      </c>
      <c r="Y7" s="5">
        <v>1</v>
      </c>
      <c r="AL7" t="s">
        <v>113</v>
      </c>
      <c r="AM7" t="s">
        <v>114</v>
      </c>
      <c r="AN7" t="s">
        <v>73</v>
      </c>
      <c r="AO7" s="5">
        <v>88.003486580679507</v>
      </c>
      <c r="AP7" s="5">
        <v>16.911430728810377</v>
      </c>
      <c r="AQ7" s="5">
        <v>10.627944107482914</v>
      </c>
      <c r="AR7" s="5">
        <v>73.798651806292298</v>
      </c>
      <c r="AS7" s="5">
        <v>98.950591933256206</v>
      </c>
    </row>
    <row r="8" spans="1:52" x14ac:dyDescent="0.25">
      <c r="C8" t="s">
        <v>97</v>
      </c>
      <c r="D8" t="s">
        <v>86</v>
      </c>
      <c r="E8" s="5">
        <v>103.40917964138382</v>
      </c>
      <c r="F8" s="5">
        <v>1</v>
      </c>
      <c r="G8" s="5">
        <v>35.2708103317999</v>
      </c>
      <c r="H8" s="5">
        <v>22.165847871959986</v>
      </c>
      <c r="I8" s="5">
        <v>81.764701955382606</v>
      </c>
      <c r="J8" s="5">
        <v>133.33677667994101</v>
      </c>
      <c r="K8" s="5">
        <v>0</v>
      </c>
      <c r="L8" s="5">
        <v>257.28997277017498</v>
      </c>
      <c r="M8" s="5">
        <v>179.25</v>
      </c>
      <c r="Q8" t="s">
        <v>108</v>
      </c>
      <c r="R8" t="s">
        <v>106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115</v>
      </c>
      <c r="AM8" t="s">
        <v>116</v>
      </c>
      <c r="AN8" t="s">
        <v>73</v>
      </c>
      <c r="AO8" s="5">
        <v>15</v>
      </c>
      <c r="AP8" s="5">
        <v>2.905162715754765</v>
      </c>
      <c r="AQ8" s="5">
        <v>1.8257418583505538</v>
      </c>
      <c r="AR8" s="5">
        <v>13</v>
      </c>
      <c r="AS8" s="5">
        <v>17</v>
      </c>
    </row>
    <row r="9" spans="1:52" x14ac:dyDescent="0.25">
      <c r="C9" t="s">
        <v>85</v>
      </c>
      <c r="D9" t="s">
        <v>86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179.25</v>
      </c>
      <c r="P9" t="s">
        <v>109</v>
      </c>
      <c r="Q9" t="s">
        <v>105</v>
      </c>
      <c r="R9" t="s">
        <v>106</v>
      </c>
      <c r="S9" s="5">
        <v>0.98041643491842145</v>
      </c>
      <c r="T9" s="5">
        <v>3.1207995652252053E-2</v>
      </c>
      <c r="U9" s="5">
        <v>1.9612582685488503E-2</v>
      </c>
      <c r="V9" s="5">
        <v>0.95674062773478297</v>
      </c>
      <c r="W9" s="5">
        <v>0.99931211406225795</v>
      </c>
      <c r="X9" s="5">
        <v>0</v>
      </c>
      <c r="Y9" s="5">
        <v>1</v>
      </c>
      <c r="AL9" t="s">
        <v>117</v>
      </c>
      <c r="AM9" t="s">
        <v>118</v>
      </c>
      <c r="AN9" t="s">
        <v>73</v>
      </c>
      <c r="AO9" s="5">
        <v>14.5</v>
      </c>
      <c r="AP9" s="5">
        <v>3.0469603616576246</v>
      </c>
      <c r="AQ9" s="5">
        <v>1.9148542155126762</v>
      </c>
      <c r="AR9" s="5">
        <v>12</v>
      </c>
      <c r="AS9" s="5">
        <v>16</v>
      </c>
    </row>
    <row r="10" spans="1:52" x14ac:dyDescent="0.25">
      <c r="C10" t="s">
        <v>88</v>
      </c>
      <c r="D10" t="s">
        <v>86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179.25</v>
      </c>
      <c r="Q10" t="s">
        <v>107</v>
      </c>
      <c r="R10" t="s">
        <v>106</v>
      </c>
      <c r="S10" s="5">
        <v>1.9608328698368449</v>
      </c>
      <c r="T10" s="5">
        <v>6.2415991304504731E-2</v>
      </c>
      <c r="U10" s="5">
        <v>3.9225165370977401E-2</v>
      </c>
      <c r="V10" s="5">
        <v>1.9134812554695699</v>
      </c>
      <c r="W10" s="5">
        <v>1.9986242281245199</v>
      </c>
      <c r="X10" s="5">
        <v>0</v>
      </c>
      <c r="Y10" s="5">
        <v>2</v>
      </c>
      <c r="AL10" t="s">
        <v>119</v>
      </c>
      <c r="AM10" t="s">
        <v>120</v>
      </c>
      <c r="AN10" t="s">
        <v>73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</row>
    <row r="11" spans="1:52" x14ac:dyDescent="0.25">
      <c r="C11" t="s">
        <v>90</v>
      </c>
      <c r="D11" t="s">
        <v>86</v>
      </c>
      <c r="E11" s="5">
        <v>1.0855975832436524</v>
      </c>
      <c r="F11" s="5">
        <v>1</v>
      </c>
      <c r="G11" s="5">
        <v>3.0827276434937004E-2</v>
      </c>
      <c r="H11" s="5">
        <v>1.9373320695941058E-2</v>
      </c>
      <c r="I11" s="5">
        <v>1.0586789981929301</v>
      </c>
      <c r="J11" s="5">
        <v>1.1020864207533301</v>
      </c>
      <c r="K11" s="5">
        <v>0.201887427096062</v>
      </c>
      <c r="L11" s="5">
        <v>5.1407162729915701</v>
      </c>
      <c r="M11" s="5">
        <v>179.25</v>
      </c>
      <c r="Q11" t="s">
        <v>108</v>
      </c>
      <c r="R11" t="s">
        <v>106</v>
      </c>
      <c r="S11" s="5">
        <v>2</v>
      </c>
      <c r="T11" s="5">
        <v>0</v>
      </c>
      <c r="U11" s="5">
        <v>0</v>
      </c>
      <c r="V11" s="5">
        <v>2</v>
      </c>
      <c r="W11" s="5">
        <v>2</v>
      </c>
      <c r="X11" s="5">
        <v>2</v>
      </c>
      <c r="Y11" s="5">
        <v>2</v>
      </c>
      <c r="AL11" t="s">
        <v>121</v>
      </c>
      <c r="AM11" t="s">
        <v>122</v>
      </c>
      <c r="AN11" t="s">
        <v>73</v>
      </c>
      <c r="AO11" s="5">
        <v>88.003486580679507</v>
      </c>
      <c r="AP11" s="5">
        <v>16.911430728810377</v>
      </c>
      <c r="AQ11" s="5">
        <v>10.627944107482914</v>
      </c>
      <c r="AR11" s="5">
        <v>73.798651806292298</v>
      </c>
      <c r="AS11" s="5">
        <v>98.950591933256206</v>
      </c>
    </row>
    <row r="12" spans="1:52" x14ac:dyDescent="0.25">
      <c r="C12" t="s">
        <v>92</v>
      </c>
      <c r="D12" t="s">
        <v>86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179.25</v>
      </c>
      <c r="P12" t="s">
        <v>101</v>
      </c>
      <c r="Q12" t="s">
        <v>102</v>
      </c>
      <c r="R12" t="s">
        <v>82</v>
      </c>
      <c r="S12" s="5">
        <v>23.80804005307575</v>
      </c>
      <c r="T12" s="5">
        <v>8.5828867000086486</v>
      </c>
      <c r="U12" s="5">
        <v>5.3938925447123944</v>
      </c>
      <c r="V12" s="5">
        <v>18.947311808547099</v>
      </c>
      <c r="W12" s="5">
        <v>29.9246023355091</v>
      </c>
      <c r="X12" s="5">
        <v>0</v>
      </c>
      <c r="Y12" s="5">
        <v>64</v>
      </c>
      <c r="AL12" t="s">
        <v>123</v>
      </c>
      <c r="AM12" t="s">
        <v>85</v>
      </c>
      <c r="AN12" t="s">
        <v>124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</row>
    <row r="13" spans="1:52" x14ac:dyDescent="0.25">
      <c r="C13" t="s">
        <v>94</v>
      </c>
      <c r="D13" t="s">
        <v>86</v>
      </c>
      <c r="E13" s="5">
        <v>1.0855975832436524</v>
      </c>
      <c r="F13" s="5">
        <v>1</v>
      </c>
      <c r="G13" s="5">
        <v>3.0827276434937004E-2</v>
      </c>
      <c r="H13" s="5">
        <v>1.9373320695941058E-2</v>
      </c>
      <c r="I13" s="5">
        <v>1.0586789981929301</v>
      </c>
      <c r="J13" s="5">
        <v>1.1020864207533301</v>
      </c>
      <c r="K13" s="5">
        <v>0.201887427096062</v>
      </c>
      <c r="L13" s="5">
        <v>5.1407162729915701</v>
      </c>
      <c r="M13" s="5">
        <v>179.25</v>
      </c>
      <c r="P13" t="s">
        <v>110</v>
      </c>
      <c r="Q13" t="s">
        <v>105</v>
      </c>
      <c r="R13" t="s">
        <v>106</v>
      </c>
      <c r="S13" s="5">
        <v>0.59254402897918601</v>
      </c>
      <c r="T13" s="5">
        <v>3.2332706613042321E-2</v>
      </c>
      <c r="U13" s="5">
        <v>2.0319404327018134E-2</v>
      </c>
      <c r="V13" s="5">
        <v>0.56725217405431305</v>
      </c>
      <c r="W13" s="5">
        <v>0.60915880258870903</v>
      </c>
      <c r="X13" s="5">
        <v>0</v>
      </c>
      <c r="Y13" s="5">
        <v>1</v>
      </c>
      <c r="AL13" t="s">
        <v>125</v>
      </c>
      <c r="AM13" t="s">
        <v>88</v>
      </c>
      <c r="AN13" t="s">
        <v>124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</row>
    <row r="14" spans="1:52" x14ac:dyDescent="0.25">
      <c r="C14" t="s">
        <v>96</v>
      </c>
      <c r="D14" t="s">
        <v>86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179.25</v>
      </c>
      <c r="Q14" t="s">
        <v>107</v>
      </c>
      <c r="R14" t="s">
        <v>106</v>
      </c>
      <c r="S14" s="5">
        <v>1.1850880579583749</v>
      </c>
      <c r="T14" s="5">
        <v>6.466541322608417E-2</v>
      </c>
      <c r="U14" s="5">
        <v>4.063880865403597E-2</v>
      </c>
      <c r="V14" s="5">
        <v>1.1345043481086301</v>
      </c>
      <c r="W14" s="5">
        <v>1.21831760517742</v>
      </c>
      <c r="X14" s="5">
        <v>0</v>
      </c>
      <c r="Y14" s="5">
        <v>2</v>
      </c>
      <c r="AL14" t="s">
        <v>126</v>
      </c>
      <c r="AM14" t="s">
        <v>90</v>
      </c>
      <c r="AN14" t="s">
        <v>124</v>
      </c>
      <c r="AO14" s="5">
        <v>210.78541398558849</v>
      </c>
      <c r="AP14" s="5">
        <v>6.8447270422957551</v>
      </c>
      <c r="AQ14" s="5">
        <v>4.3015506850385421</v>
      </c>
      <c r="AR14" s="5">
        <v>206.05792548363399</v>
      </c>
      <c r="AS14" s="5">
        <v>215.56959882430399</v>
      </c>
    </row>
    <row r="15" spans="1:52" x14ac:dyDescent="0.25">
      <c r="B15" t="s">
        <v>71</v>
      </c>
      <c r="C15" t="s">
        <v>74</v>
      </c>
      <c r="D15" t="s">
        <v>73</v>
      </c>
      <c r="E15" s="5">
        <v>6.0792049216952879</v>
      </c>
      <c r="F15" s="5">
        <v>1</v>
      </c>
      <c r="G15" s="5">
        <v>0.34794591571107231</v>
      </c>
      <c r="H15" s="5">
        <v>0.21866569445862416</v>
      </c>
      <c r="I15" s="5">
        <v>5.7547110085867796</v>
      </c>
      <c r="J15" s="5">
        <v>6.2278090318414998</v>
      </c>
      <c r="K15" s="5">
        <v>3.3172868440642</v>
      </c>
      <c r="L15" s="5">
        <v>9.5489811649774303</v>
      </c>
      <c r="M15" s="5">
        <v>14.5</v>
      </c>
      <c r="Q15" t="s">
        <v>108</v>
      </c>
      <c r="R15" t="s">
        <v>106</v>
      </c>
      <c r="S15" s="5">
        <v>2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AL15" t="s">
        <v>127</v>
      </c>
      <c r="AM15" t="s">
        <v>128</v>
      </c>
      <c r="AN15" t="s">
        <v>124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C16" t="s">
        <v>76</v>
      </c>
      <c r="D16" t="s">
        <v>73</v>
      </c>
      <c r="E16" s="5">
        <v>6.0792049216952879</v>
      </c>
      <c r="F16" s="5">
        <v>1</v>
      </c>
      <c r="G16" s="5">
        <v>0.34794591571107231</v>
      </c>
      <c r="H16" s="5">
        <v>0.21866569445862416</v>
      </c>
      <c r="I16" s="5">
        <v>5.7547110085867796</v>
      </c>
      <c r="J16" s="5">
        <v>6.2278090318414998</v>
      </c>
      <c r="K16" s="5">
        <v>3.3172868440642</v>
      </c>
      <c r="L16" s="5">
        <v>9.5489811649774303</v>
      </c>
      <c r="M16" s="5">
        <v>14.5</v>
      </c>
      <c r="AL16" t="s">
        <v>129</v>
      </c>
      <c r="AM16" t="s">
        <v>94</v>
      </c>
      <c r="AN16" t="s">
        <v>124</v>
      </c>
      <c r="AO16" s="5">
        <v>210.78541398558849</v>
      </c>
      <c r="AP16" s="5">
        <v>6.8447270422957551</v>
      </c>
      <c r="AQ16" s="5">
        <v>4.3015506850385421</v>
      </c>
      <c r="AR16" s="5">
        <v>206.05792548363399</v>
      </c>
      <c r="AS16" s="5">
        <v>215.56959882430399</v>
      </c>
    </row>
    <row r="17" spans="2:45" x14ac:dyDescent="0.25">
      <c r="C17" t="s">
        <v>72</v>
      </c>
      <c r="D17" t="s">
        <v>73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14.5</v>
      </c>
      <c r="AL17" t="s">
        <v>130</v>
      </c>
      <c r="AM17" t="s">
        <v>96</v>
      </c>
      <c r="AN17" t="s">
        <v>124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</row>
    <row r="18" spans="2:45" x14ac:dyDescent="0.25">
      <c r="C18" t="s">
        <v>75</v>
      </c>
      <c r="D18" t="s">
        <v>73</v>
      </c>
      <c r="E18" s="5">
        <v>0</v>
      </c>
      <c r="F18" s="5">
        <v>1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14.5</v>
      </c>
      <c r="AL18" t="s">
        <v>131</v>
      </c>
      <c r="AM18" t="s">
        <v>132</v>
      </c>
      <c r="AN18" t="s">
        <v>124</v>
      </c>
      <c r="AO18" s="5">
        <v>210.78541398558849</v>
      </c>
      <c r="AP18" s="5">
        <v>6.8447270422957551</v>
      </c>
      <c r="AQ18" s="5">
        <v>4.3015506850385421</v>
      </c>
      <c r="AR18" s="5">
        <v>206.05792548363399</v>
      </c>
      <c r="AS18" s="5">
        <v>215.56959882430399</v>
      </c>
    </row>
    <row r="19" spans="2:45" x14ac:dyDescent="0.25">
      <c r="B19" t="s">
        <v>77</v>
      </c>
      <c r="C19" t="s">
        <v>74</v>
      </c>
      <c r="D19" t="s">
        <v>73</v>
      </c>
      <c r="E19" s="5">
        <v>58.419903961647904</v>
      </c>
      <c r="F19" s="5">
        <v>1</v>
      </c>
      <c r="G19" s="5">
        <v>15.871222648666704</v>
      </c>
      <c r="H19" s="5">
        <v>9.9742280787683679</v>
      </c>
      <c r="I19" s="5">
        <v>48.9488891883123</v>
      </c>
      <c r="J19" s="5">
        <v>69.095995496749396</v>
      </c>
      <c r="K19" s="5">
        <v>1.1041395278103501</v>
      </c>
      <c r="L19" s="5">
        <v>137.43873630026201</v>
      </c>
      <c r="M19" s="5">
        <v>224</v>
      </c>
      <c r="AL19" t="s">
        <v>133</v>
      </c>
      <c r="AM19" t="s">
        <v>134</v>
      </c>
      <c r="AN19" t="s">
        <v>124</v>
      </c>
      <c r="AO19" s="5">
        <v>4.2300500576210318</v>
      </c>
      <c r="AP19" s="5">
        <v>6.7409270608866461</v>
      </c>
      <c r="AQ19" s="5">
        <v>4.2363178600656441</v>
      </c>
      <c r="AR19" s="5">
        <v>0.14858336255221799</v>
      </c>
      <c r="AS19" s="5">
        <v>9.34402440928719</v>
      </c>
    </row>
    <row r="20" spans="2:45" x14ac:dyDescent="0.25">
      <c r="C20" t="s">
        <v>76</v>
      </c>
      <c r="D20" t="s">
        <v>73</v>
      </c>
      <c r="E20" s="5">
        <v>1.7173694666867099</v>
      </c>
      <c r="F20" s="5">
        <v>1</v>
      </c>
      <c r="G20" s="5">
        <v>4.0729721502672782E-2</v>
      </c>
      <c r="H20" s="5">
        <v>2.5596486221967425E-2</v>
      </c>
      <c r="I20" s="5">
        <v>1.6962918918481</v>
      </c>
      <c r="J20" s="5">
        <v>1.7546510388434</v>
      </c>
      <c r="K20" s="5">
        <v>0.80765702815881502</v>
      </c>
      <c r="L20" s="5">
        <v>2.94145886808644</v>
      </c>
      <c r="M20" s="5">
        <v>224</v>
      </c>
      <c r="AL20" t="s">
        <v>135</v>
      </c>
      <c r="AM20" t="s">
        <v>90</v>
      </c>
      <c r="AN20" t="s">
        <v>124</v>
      </c>
      <c r="AO20" s="5">
        <v>215.01546404320951</v>
      </c>
      <c r="AP20" s="5">
        <v>1.0220133720253106</v>
      </c>
      <c r="AQ20" s="5">
        <v>0.64228161231094227</v>
      </c>
      <c r="AR20" s="5">
        <v>214.44626288468001</v>
      </c>
      <c r="AS20" s="5">
        <v>215.71818218685601</v>
      </c>
    </row>
    <row r="21" spans="2:45" x14ac:dyDescent="0.25">
      <c r="C21" t="s">
        <v>79</v>
      </c>
      <c r="D21" t="s">
        <v>73</v>
      </c>
      <c r="E21" s="5">
        <v>56.702534494961206</v>
      </c>
      <c r="F21" s="5">
        <v>1</v>
      </c>
      <c r="G21" s="5">
        <v>15.840494746788753</v>
      </c>
      <c r="H21" s="5">
        <v>9.9549172097510752</v>
      </c>
      <c r="I21" s="5">
        <v>47.239427076198901</v>
      </c>
      <c r="J21" s="5">
        <v>67.341344457906004</v>
      </c>
      <c r="K21" s="5">
        <v>0</v>
      </c>
      <c r="L21" s="5">
        <v>134.93902171208401</v>
      </c>
      <c r="M21" s="5">
        <v>224</v>
      </c>
      <c r="AL21" t="s">
        <v>136</v>
      </c>
      <c r="AM21" t="s">
        <v>137</v>
      </c>
      <c r="AN21" t="s">
        <v>124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</row>
    <row r="22" spans="2:45" x14ac:dyDescent="0.25">
      <c r="C22" t="s">
        <v>72</v>
      </c>
      <c r="D22" t="s">
        <v>73</v>
      </c>
      <c r="E22" s="5">
        <v>0.34347389333734257</v>
      </c>
      <c r="F22" s="5">
        <v>1</v>
      </c>
      <c r="G22" s="5">
        <v>8.1459443005339367E-3</v>
      </c>
      <c r="H22" s="5">
        <v>5.1192972443930953E-3</v>
      </c>
      <c r="I22" s="5">
        <v>0.33925837836962103</v>
      </c>
      <c r="J22" s="5">
        <v>0.35093020776868</v>
      </c>
      <c r="K22" s="5">
        <v>0.16153140563176299</v>
      </c>
      <c r="L22" s="5">
        <v>0.58829177361728902</v>
      </c>
      <c r="M22" s="5">
        <v>224</v>
      </c>
      <c r="AL22" t="s">
        <v>138</v>
      </c>
      <c r="AM22" t="s">
        <v>112</v>
      </c>
      <c r="AN22" t="s">
        <v>73</v>
      </c>
      <c r="AO22" s="5">
        <v>76.928765378073209</v>
      </c>
      <c r="AP22" s="5">
        <v>5.2311286570678508</v>
      </c>
      <c r="AQ22" s="5">
        <v>3.2874890290420833</v>
      </c>
      <c r="AR22" s="5">
        <v>72.601292971098701</v>
      </c>
      <c r="AS22" s="5">
        <v>79.660934424486001</v>
      </c>
    </row>
    <row r="23" spans="2:45" x14ac:dyDescent="0.25">
      <c r="C23" t="s">
        <v>75</v>
      </c>
      <c r="D23" t="s">
        <v>73</v>
      </c>
      <c r="E23" s="5">
        <v>0.34347389333734257</v>
      </c>
      <c r="F23" s="5">
        <v>1</v>
      </c>
      <c r="G23" s="5">
        <v>8.1459443005339367E-3</v>
      </c>
      <c r="H23" s="5">
        <v>5.1192972443930953E-3</v>
      </c>
      <c r="I23" s="5">
        <v>0.33925837836962103</v>
      </c>
      <c r="J23" s="5">
        <v>0.35093020776868</v>
      </c>
      <c r="K23" s="5">
        <v>0.16153140563176299</v>
      </c>
      <c r="L23" s="5">
        <v>0.58829177361728902</v>
      </c>
      <c r="M23" s="5">
        <v>224</v>
      </c>
      <c r="AL23" t="s">
        <v>139</v>
      </c>
      <c r="AM23" t="s">
        <v>114</v>
      </c>
      <c r="AN23" t="s">
        <v>73</v>
      </c>
      <c r="AO23" s="5">
        <v>384.64382689036626</v>
      </c>
      <c r="AP23" s="5">
        <v>26.155643285338851</v>
      </c>
      <c r="AQ23" s="5">
        <v>16.437445145210162</v>
      </c>
      <c r="AR23" s="5">
        <v>363.00646485549402</v>
      </c>
      <c r="AS23" s="5">
        <v>398.30467212243002</v>
      </c>
    </row>
    <row r="24" spans="2:45" x14ac:dyDescent="0.25">
      <c r="C24" t="s">
        <v>78</v>
      </c>
      <c r="D24" t="s">
        <v>73</v>
      </c>
      <c r="E24" s="5">
        <v>0</v>
      </c>
      <c r="F24" s="5">
        <v>1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224</v>
      </c>
      <c r="AL24" t="s">
        <v>140</v>
      </c>
      <c r="AM24" t="s">
        <v>141</v>
      </c>
      <c r="AN24" t="s">
        <v>73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</row>
    <row r="25" spans="2:45" x14ac:dyDescent="0.25">
      <c r="B25" t="s">
        <v>80</v>
      </c>
      <c r="C25" t="s">
        <v>83</v>
      </c>
      <c r="D25" t="s">
        <v>82</v>
      </c>
      <c r="E25" s="5">
        <v>56.896205939992733</v>
      </c>
      <c r="F25" s="5">
        <v>1</v>
      </c>
      <c r="G25" s="5">
        <v>15.497794311841345</v>
      </c>
      <c r="H25" s="5">
        <v>9.7395480238650887</v>
      </c>
      <c r="I25" s="5">
        <v>47.574043671421599</v>
      </c>
      <c r="J25" s="5">
        <v>67.341344457906004</v>
      </c>
      <c r="K25" s="5">
        <v>0</v>
      </c>
      <c r="L25" s="5">
        <v>134.93902171208401</v>
      </c>
      <c r="M25" s="5">
        <v>225</v>
      </c>
      <c r="AL25" t="s">
        <v>142</v>
      </c>
      <c r="AM25" t="s">
        <v>143</v>
      </c>
      <c r="AN25" t="s">
        <v>73</v>
      </c>
      <c r="AO25" s="5">
        <v>12692.581721271574</v>
      </c>
      <c r="AP25" s="5">
        <v>3536.9702104897965</v>
      </c>
      <c r="AQ25" s="5">
        <v>2222.7996146344935</v>
      </c>
      <c r="AR25" s="5">
        <v>10542.4054832944</v>
      </c>
      <c r="AS25" s="5">
        <v>14613.0717473656</v>
      </c>
    </row>
    <row r="26" spans="2:45" x14ac:dyDescent="0.25">
      <c r="C26" t="s">
        <v>81</v>
      </c>
      <c r="D26" t="s">
        <v>82</v>
      </c>
      <c r="E26" s="5">
        <v>0</v>
      </c>
      <c r="F26" s="5">
        <v>1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225</v>
      </c>
      <c r="AL26" t="s">
        <v>144</v>
      </c>
      <c r="AM26" t="s">
        <v>116</v>
      </c>
      <c r="AN26" t="s">
        <v>73</v>
      </c>
      <c r="AO26" s="5">
        <v>287</v>
      </c>
      <c r="AP26" s="5">
        <v>14.870347158398957</v>
      </c>
      <c r="AQ26" s="5">
        <v>9.3452305125841235</v>
      </c>
      <c r="AR26" s="5">
        <v>276</v>
      </c>
      <c r="AS26" s="5">
        <v>297</v>
      </c>
    </row>
    <row r="27" spans="2:45" x14ac:dyDescent="0.25">
      <c r="B27" t="s">
        <v>98</v>
      </c>
      <c r="C27" t="s">
        <v>74</v>
      </c>
      <c r="D27" t="s">
        <v>73</v>
      </c>
      <c r="E27" s="5">
        <v>68.250516158233097</v>
      </c>
      <c r="F27" s="5">
        <v>1</v>
      </c>
      <c r="G27" s="5">
        <v>16.822234414336116</v>
      </c>
      <c r="H27" s="5">
        <v>10.571888918538377</v>
      </c>
      <c r="I27" s="5">
        <v>58.173536773405097</v>
      </c>
      <c r="J27" s="5">
        <v>77.448053481044795</v>
      </c>
      <c r="K27" s="5">
        <v>29.2733866500859</v>
      </c>
      <c r="L27" s="5">
        <v>114.492334115465</v>
      </c>
      <c r="M27" s="5">
        <v>3</v>
      </c>
      <c r="AL27" t="s">
        <v>145</v>
      </c>
      <c r="AM27" t="s">
        <v>118</v>
      </c>
      <c r="AN27" t="s">
        <v>73</v>
      </c>
      <c r="AO27" s="5">
        <v>224</v>
      </c>
      <c r="AP27" s="5">
        <v>15.752305542597284</v>
      </c>
      <c r="AQ27" s="5">
        <v>9.8994949366116654</v>
      </c>
      <c r="AR27" s="5">
        <v>214</v>
      </c>
      <c r="AS27" s="5">
        <v>233</v>
      </c>
    </row>
    <row r="28" spans="2:45" x14ac:dyDescent="0.25">
      <c r="C28" t="s">
        <v>76</v>
      </c>
      <c r="D28" t="s">
        <v>73</v>
      </c>
      <c r="E28" s="5">
        <v>11.138493978141318</v>
      </c>
      <c r="F28" s="5">
        <v>1</v>
      </c>
      <c r="G28" s="5">
        <v>8.4715549617689181</v>
      </c>
      <c r="H28" s="5">
        <v>5.3239264069931878</v>
      </c>
      <c r="I28" s="5">
        <v>7.2458090148572998</v>
      </c>
      <c r="J28" s="5">
        <v>18.983340823406301</v>
      </c>
      <c r="K28" s="5">
        <v>2.3005982099159601</v>
      </c>
      <c r="L28" s="5">
        <v>20.9267981445186</v>
      </c>
      <c r="M28" s="5">
        <v>3</v>
      </c>
      <c r="AL28" t="s">
        <v>146</v>
      </c>
      <c r="AM28" t="s">
        <v>120</v>
      </c>
      <c r="AN28" t="s">
        <v>73</v>
      </c>
      <c r="AO28" s="5">
        <v>76.928765378073209</v>
      </c>
      <c r="AP28" s="5">
        <v>5.2311286570678508</v>
      </c>
      <c r="AQ28" s="5">
        <v>3.2874890290420833</v>
      </c>
      <c r="AR28" s="5">
        <v>72.601292971098701</v>
      </c>
      <c r="AS28" s="5">
        <v>79.660934424486001</v>
      </c>
    </row>
    <row r="29" spans="2:45" x14ac:dyDescent="0.25">
      <c r="C29" t="s">
        <v>79</v>
      </c>
      <c r="D29" t="s">
        <v>73</v>
      </c>
      <c r="E29" s="5">
        <v>57.11202218009177</v>
      </c>
      <c r="F29" s="5">
        <v>1</v>
      </c>
      <c r="G29" s="5">
        <v>23.162161155649617</v>
      </c>
      <c r="H29" s="5">
        <v>14.556199183750103</v>
      </c>
      <c r="I29" s="5">
        <v>41.082292304756102</v>
      </c>
      <c r="J29" s="5">
        <v>70.069032235462799</v>
      </c>
      <c r="K29" s="5">
        <v>12.221377542920401</v>
      </c>
      <c r="L29" s="5">
        <v>109.45331517216999</v>
      </c>
      <c r="M29" s="5">
        <v>3</v>
      </c>
      <c r="AL29" t="s">
        <v>147</v>
      </c>
      <c r="AM29" t="s">
        <v>122</v>
      </c>
      <c r="AN29" t="s">
        <v>73</v>
      </c>
      <c r="AO29" s="5">
        <v>13077.22554816195</v>
      </c>
      <c r="AP29" s="5">
        <v>3546.3021858600991</v>
      </c>
      <c r="AQ29" s="5">
        <v>2228.6642699814252</v>
      </c>
      <c r="AR29" s="5">
        <v>10905.4119481499</v>
      </c>
      <c r="AS29" s="5">
        <v>15004.5680408265</v>
      </c>
    </row>
    <row r="30" spans="2:45" x14ac:dyDescent="0.25">
      <c r="C30" t="s">
        <v>72</v>
      </c>
      <c r="D30" t="s">
        <v>73</v>
      </c>
      <c r="E30" s="5">
        <v>2.2276987956282599</v>
      </c>
      <c r="F30" s="5">
        <v>1</v>
      </c>
      <c r="G30" s="5">
        <v>1.6943109923537756</v>
      </c>
      <c r="H30" s="5">
        <v>1.0647852813986325</v>
      </c>
      <c r="I30" s="5">
        <v>1.4491618029714599</v>
      </c>
      <c r="J30" s="5">
        <v>3.7966681646812499</v>
      </c>
      <c r="K30" s="5">
        <v>0.460119641983192</v>
      </c>
      <c r="L30" s="5">
        <v>4.1853596289037203</v>
      </c>
      <c r="M30" s="5">
        <v>3</v>
      </c>
      <c r="AL30" t="s">
        <v>150</v>
      </c>
      <c r="AM30" t="s">
        <v>112</v>
      </c>
      <c r="AN30" t="s">
        <v>73</v>
      </c>
      <c r="AO30" s="5">
        <v>6.6317073247458076</v>
      </c>
      <c r="AP30" s="5">
        <v>5.4788042702799542</v>
      </c>
      <c r="AQ30" s="5">
        <v>3.4431401159439399</v>
      </c>
      <c r="AR30" s="5">
        <v>3.8705214634162899</v>
      </c>
      <c r="AS30" s="5">
        <v>11.390004494043801</v>
      </c>
    </row>
    <row r="31" spans="2:45" x14ac:dyDescent="0.25">
      <c r="C31" t="s">
        <v>75</v>
      </c>
      <c r="D31" t="s">
        <v>73</v>
      </c>
      <c r="E31" s="5">
        <v>2.2276987956282599</v>
      </c>
      <c r="F31" s="5">
        <v>1</v>
      </c>
      <c r="G31" s="5">
        <v>1.6943109923537756</v>
      </c>
      <c r="H31" s="5">
        <v>1.0647852813986325</v>
      </c>
      <c r="I31" s="5">
        <v>1.4491618029714599</v>
      </c>
      <c r="J31" s="5">
        <v>3.7966681646812499</v>
      </c>
      <c r="K31" s="5">
        <v>0.460119641983192</v>
      </c>
      <c r="L31" s="5">
        <v>4.1853596289037203</v>
      </c>
      <c r="M31" s="5">
        <v>3</v>
      </c>
      <c r="AL31" t="s">
        <v>151</v>
      </c>
      <c r="AM31" t="s">
        <v>114</v>
      </c>
      <c r="AN31" t="s">
        <v>73</v>
      </c>
      <c r="AO31" s="5">
        <v>33.158536623728978</v>
      </c>
      <c r="AP31" s="5">
        <v>27.394021351399644</v>
      </c>
      <c r="AQ31" s="5">
        <v>17.21570057971962</v>
      </c>
      <c r="AR31" s="5">
        <v>19.3526073170814</v>
      </c>
      <c r="AS31" s="5">
        <v>56.950022470218798</v>
      </c>
    </row>
    <row r="32" spans="2:45" x14ac:dyDescent="0.25">
      <c r="C32" t="s">
        <v>78</v>
      </c>
      <c r="D32" t="s">
        <v>73</v>
      </c>
      <c r="E32" s="5">
        <v>0</v>
      </c>
      <c r="F32" s="5">
        <v>1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3</v>
      </c>
      <c r="AL32" t="s">
        <v>152</v>
      </c>
      <c r="AM32" t="s">
        <v>141</v>
      </c>
      <c r="AN32" t="s">
        <v>73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</row>
    <row r="33" spans="2:45" x14ac:dyDescent="0.25">
      <c r="B33" t="s">
        <v>99</v>
      </c>
      <c r="C33" t="s">
        <v>83</v>
      </c>
      <c r="D33" t="s">
        <v>82</v>
      </c>
      <c r="E33" s="5">
        <v>57.11202218009177</v>
      </c>
      <c r="F33" s="5">
        <v>1</v>
      </c>
      <c r="G33" s="5">
        <v>23.162161155649617</v>
      </c>
      <c r="H33" s="5">
        <v>14.556199183750103</v>
      </c>
      <c r="I33" s="5">
        <v>41.082292304756102</v>
      </c>
      <c r="J33" s="5">
        <v>70.069032235462799</v>
      </c>
      <c r="K33" s="5">
        <v>12.221377542920401</v>
      </c>
      <c r="L33" s="5">
        <v>109.45331517216999</v>
      </c>
      <c r="M33" s="5">
        <v>3</v>
      </c>
      <c r="AL33" t="s">
        <v>153</v>
      </c>
      <c r="AM33" t="s">
        <v>143</v>
      </c>
      <c r="AN33" t="s">
        <v>73</v>
      </c>
      <c r="AO33" s="5">
        <v>176.41164102787997</v>
      </c>
      <c r="AP33" s="5">
        <v>130.03477774571456</v>
      </c>
      <c r="AQ33" s="5">
        <v>81.720013644737534</v>
      </c>
      <c r="AR33" s="5">
        <v>96.9944662297289</v>
      </c>
      <c r="AS33" s="5">
        <v>275.19812426113498</v>
      </c>
    </row>
    <row r="34" spans="2:45" x14ac:dyDescent="0.25">
      <c r="C34" t="s">
        <v>81</v>
      </c>
      <c r="D34" t="s">
        <v>82</v>
      </c>
      <c r="E34" s="5">
        <v>0</v>
      </c>
      <c r="F34" s="5">
        <v>1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3</v>
      </c>
      <c r="AL34" t="s">
        <v>154</v>
      </c>
      <c r="AM34" t="s">
        <v>116</v>
      </c>
      <c r="AN34" t="s">
        <v>73</v>
      </c>
      <c r="AO34" s="5">
        <v>3.75</v>
      </c>
      <c r="AP34" s="5">
        <v>2.0022452253359253</v>
      </c>
      <c r="AQ34" s="5">
        <v>1.2583057392117916</v>
      </c>
      <c r="AR34" s="5">
        <v>2</v>
      </c>
      <c r="AS34" s="5">
        <v>5</v>
      </c>
    </row>
    <row r="35" spans="2:45" x14ac:dyDescent="0.25">
      <c r="B35" t="s">
        <v>100</v>
      </c>
      <c r="C35" t="s">
        <v>74</v>
      </c>
      <c r="D35" t="s">
        <v>73</v>
      </c>
      <c r="E35" s="5">
        <v>62.92202224996587</v>
      </c>
      <c r="F35" s="5">
        <v>1</v>
      </c>
      <c r="G35" s="5">
        <v>21.752091827871002</v>
      </c>
      <c r="H35" s="5">
        <v>13.670044827940533</v>
      </c>
      <c r="I35" s="5">
        <v>49.248742246025898</v>
      </c>
      <c r="J35" s="5">
        <v>80.696963583649506</v>
      </c>
      <c r="K35" s="5">
        <v>2.3495685018580499</v>
      </c>
      <c r="L35" s="5">
        <v>135.44241264253401</v>
      </c>
      <c r="M35" s="5">
        <v>172.75</v>
      </c>
      <c r="AL35" t="s">
        <v>155</v>
      </c>
      <c r="AM35" t="s">
        <v>118</v>
      </c>
      <c r="AN35" t="s">
        <v>73</v>
      </c>
      <c r="AO35" s="5">
        <v>3</v>
      </c>
      <c r="AP35" s="5">
        <v>1.2992282636251109</v>
      </c>
      <c r="AQ35" s="5">
        <v>0.81649658092772603</v>
      </c>
      <c r="AR35" s="5">
        <v>2</v>
      </c>
      <c r="AS35" s="5">
        <v>4</v>
      </c>
    </row>
    <row r="36" spans="2:45" x14ac:dyDescent="0.25">
      <c r="C36" t="s">
        <v>76</v>
      </c>
      <c r="D36" t="s">
        <v>73</v>
      </c>
      <c r="E36" s="5">
        <v>3.6831649499214323</v>
      </c>
      <c r="F36" s="5">
        <v>1</v>
      </c>
      <c r="G36" s="5">
        <v>8.4324730346388752E-2</v>
      </c>
      <c r="H36" s="5">
        <v>5.2993654728054486E-2</v>
      </c>
      <c r="I36" s="5">
        <v>3.6466211189205802</v>
      </c>
      <c r="J36" s="5">
        <v>3.7603149204845701</v>
      </c>
      <c r="K36" s="5">
        <v>1.6871057206376201</v>
      </c>
      <c r="L36" s="5">
        <v>6.5882186738570603</v>
      </c>
      <c r="M36" s="5">
        <v>172.75</v>
      </c>
      <c r="AL36" t="s">
        <v>156</v>
      </c>
      <c r="AM36" t="s">
        <v>120</v>
      </c>
      <c r="AN36" t="s">
        <v>73</v>
      </c>
      <c r="AO36" s="5">
        <v>6.6317073247458076</v>
      </c>
      <c r="AP36" s="5">
        <v>5.4788042702799542</v>
      </c>
      <c r="AQ36" s="5">
        <v>3.4431401159439399</v>
      </c>
      <c r="AR36" s="5">
        <v>3.8705214634162899</v>
      </c>
      <c r="AS36" s="5">
        <v>11.390004494043801</v>
      </c>
    </row>
    <row r="37" spans="2:45" x14ac:dyDescent="0.25">
      <c r="C37" t="s">
        <v>79</v>
      </c>
      <c r="D37" t="s">
        <v>73</v>
      </c>
      <c r="E37" s="5">
        <v>59.238857300044451</v>
      </c>
      <c r="F37" s="5">
        <v>1</v>
      </c>
      <c r="G37" s="5">
        <v>21.744653415905951</v>
      </c>
      <c r="H37" s="5">
        <v>13.66537017752918</v>
      </c>
      <c r="I37" s="5">
        <v>45.602121127105399</v>
      </c>
      <c r="J37" s="5">
        <v>77.0466113697141</v>
      </c>
      <c r="K37" s="5">
        <v>0</v>
      </c>
      <c r="L37" s="5">
        <v>131.704152533165</v>
      </c>
      <c r="M37" s="5">
        <v>172.75</v>
      </c>
      <c r="AL37" t="s">
        <v>157</v>
      </c>
      <c r="AM37" t="s">
        <v>122</v>
      </c>
      <c r="AN37" t="s">
        <v>73</v>
      </c>
      <c r="AO37" s="5">
        <v>209.57017765160899</v>
      </c>
      <c r="AP37" s="5">
        <v>130.24205904668281</v>
      </c>
      <c r="AQ37" s="5">
        <v>81.85027903248286</v>
      </c>
      <c r="AR37" s="5">
        <v>116.34707354680999</v>
      </c>
      <c r="AS37" s="5">
        <v>309.79221392417901</v>
      </c>
    </row>
    <row r="38" spans="2:45" x14ac:dyDescent="0.25">
      <c r="C38" t="s">
        <v>72</v>
      </c>
      <c r="D38" t="s">
        <v>73</v>
      </c>
      <c r="E38" s="5">
        <v>0.73663298998428628</v>
      </c>
      <c r="F38" s="5">
        <v>1</v>
      </c>
      <c r="G38" s="5">
        <v>1.6864946069277815E-2</v>
      </c>
      <c r="H38" s="5">
        <v>1.0598730945610939E-2</v>
      </c>
      <c r="I38" s="5">
        <v>0.72932422378411599</v>
      </c>
      <c r="J38" s="5">
        <v>0.75206298409691397</v>
      </c>
      <c r="K38" s="5">
        <v>0.337421144127524</v>
      </c>
      <c r="L38" s="5">
        <v>1.3176437347714101</v>
      </c>
      <c r="M38" s="5">
        <v>172.75</v>
      </c>
      <c r="AL38" t="s">
        <v>158</v>
      </c>
      <c r="AM38" t="s">
        <v>132</v>
      </c>
      <c r="AN38" t="s">
        <v>106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</row>
    <row r="39" spans="2:45" x14ac:dyDescent="0.25">
      <c r="C39" t="s">
        <v>75</v>
      </c>
      <c r="D39" t="s">
        <v>73</v>
      </c>
      <c r="E39" s="5">
        <v>0.73663298998428628</v>
      </c>
      <c r="F39" s="5">
        <v>1</v>
      </c>
      <c r="G39" s="5">
        <v>1.6864946069277815E-2</v>
      </c>
      <c r="H39" s="5">
        <v>1.0598730945610939E-2</v>
      </c>
      <c r="I39" s="5">
        <v>0.72932422378411599</v>
      </c>
      <c r="J39" s="5">
        <v>0.75206298409691397</v>
      </c>
      <c r="K39" s="5">
        <v>0.337421144127524</v>
      </c>
      <c r="L39" s="5">
        <v>1.3176437347714101</v>
      </c>
      <c r="M39" s="5">
        <v>172.75</v>
      </c>
      <c r="AL39" t="s">
        <v>159</v>
      </c>
      <c r="AM39" t="s">
        <v>134</v>
      </c>
      <c r="AN39" t="s">
        <v>106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</row>
    <row r="40" spans="2:45" x14ac:dyDescent="0.25">
      <c r="C40" t="s">
        <v>78</v>
      </c>
      <c r="D40" t="s">
        <v>73</v>
      </c>
      <c r="E40" s="5">
        <v>0</v>
      </c>
      <c r="F40" s="5">
        <v>1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172.75</v>
      </c>
      <c r="AL40" t="s">
        <v>160</v>
      </c>
      <c r="AM40" t="s">
        <v>161</v>
      </c>
      <c r="AN40" t="s">
        <v>106</v>
      </c>
      <c r="AO40" s="5">
        <v>3</v>
      </c>
      <c r="AP40" s="5">
        <v>1.2992282636251109</v>
      </c>
      <c r="AQ40" s="5">
        <v>0.81649658092772603</v>
      </c>
      <c r="AR40" s="5">
        <v>2</v>
      </c>
      <c r="AS40" s="5">
        <v>4</v>
      </c>
    </row>
    <row r="41" spans="2:45" x14ac:dyDescent="0.25">
      <c r="B41" t="s">
        <v>101</v>
      </c>
      <c r="C41" t="s">
        <v>83</v>
      </c>
      <c r="D41" t="s">
        <v>82</v>
      </c>
      <c r="E41" s="5">
        <v>59.580941993213607</v>
      </c>
      <c r="F41" s="5">
        <v>1</v>
      </c>
      <c r="G41" s="5">
        <v>22.264694388817006</v>
      </c>
      <c r="H41" s="5">
        <v>13.992188557495338</v>
      </c>
      <c r="I41" s="5">
        <v>45.602121127105399</v>
      </c>
      <c r="J41" s="5">
        <v>77.677173992621206</v>
      </c>
      <c r="K41" s="5">
        <v>0</v>
      </c>
      <c r="L41" s="5">
        <v>133.96647926071901</v>
      </c>
      <c r="M41" s="5">
        <v>173.75</v>
      </c>
      <c r="AL41" t="s">
        <v>162</v>
      </c>
      <c r="AM41" t="s">
        <v>163</v>
      </c>
      <c r="AN41" t="s">
        <v>106</v>
      </c>
      <c r="AO41" s="5">
        <v>6.1404697451349924E-2</v>
      </c>
      <c r="AP41" s="5">
        <v>5.0729669169258376E-2</v>
      </c>
      <c r="AQ41" s="5">
        <v>3.1880926999480634E-2</v>
      </c>
      <c r="AR41" s="5">
        <v>3.5838161698299002E-2</v>
      </c>
      <c r="AS41" s="5">
        <v>0.10546300457447901</v>
      </c>
    </row>
    <row r="42" spans="2:45" x14ac:dyDescent="0.25">
      <c r="C42" t="s">
        <v>81</v>
      </c>
      <c r="D42" t="s">
        <v>82</v>
      </c>
      <c r="E42" s="5">
        <v>0</v>
      </c>
      <c r="F42" s="5">
        <v>1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173.75</v>
      </c>
      <c r="AL42" t="s">
        <v>164</v>
      </c>
      <c r="AM42" t="s">
        <v>137</v>
      </c>
      <c r="AN42" t="s">
        <v>106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</row>
    <row r="43" spans="2:45" x14ac:dyDescent="0.25">
      <c r="AL43" t="s">
        <v>166</v>
      </c>
      <c r="AM43" t="s">
        <v>90</v>
      </c>
      <c r="AN43" t="s">
        <v>124</v>
      </c>
      <c r="AO43" s="5">
        <v>215.01546404320951</v>
      </c>
      <c r="AP43" s="5">
        <v>1.0220133720253106</v>
      </c>
      <c r="AQ43" s="5">
        <v>0.64228161231094227</v>
      </c>
      <c r="AR43" s="5">
        <v>214.44626288468001</v>
      </c>
      <c r="AS43" s="5">
        <v>215.71818218685601</v>
      </c>
    </row>
    <row r="44" spans="2:45" x14ac:dyDescent="0.25">
      <c r="AL44" t="s">
        <v>167</v>
      </c>
      <c r="AM44" t="s">
        <v>132</v>
      </c>
      <c r="AN44" t="s">
        <v>106</v>
      </c>
      <c r="AO44" s="5">
        <v>210.78541398558849</v>
      </c>
      <c r="AP44" s="5">
        <v>6.8447270422957551</v>
      </c>
      <c r="AQ44" s="5">
        <v>4.3015506850385421</v>
      </c>
      <c r="AR44" s="5">
        <v>206.05792548363399</v>
      </c>
      <c r="AS44" s="5">
        <v>215.56959882430399</v>
      </c>
    </row>
    <row r="45" spans="2:45" x14ac:dyDescent="0.25">
      <c r="AL45" t="s">
        <v>168</v>
      </c>
      <c r="AM45" t="s">
        <v>134</v>
      </c>
      <c r="AN45" t="s">
        <v>106</v>
      </c>
      <c r="AO45" s="5">
        <v>4.2300500576210318</v>
      </c>
      <c r="AP45" s="5">
        <v>6.7409270608866461</v>
      </c>
      <c r="AQ45" s="5">
        <v>4.2363178600656441</v>
      </c>
      <c r="AR45" s="5">
        <v>0.14858336255221799</v>
      </c>
      <c r="AS45" s="5">
        <v>9.34402440928719</v>
      </c>
    </row>
    <row r="46" spans="2:45" x14ac:dyDescent="0.25">
      <c r="AL46" t="s">
        <v>169</v>
      </c>
      <c r="AM46" t="s">
        <v>161</v>
      </c>
      <c r="AN46" t="s">
        <v>106</v>
      </c>
      <c r="AO46" s="5">
        <v>401.75</v>
      </c>
      <c r="AP46" s="5">
        <v>4.7515177399864594</v>
      </c>
      <c r="AQ46" s="5">
        <v>2.9860788111948193</v>
      </c>
      <c r="AR46" s="5">
        <v>398</v>
      </c>
      <c r="AS46" s="5">
        <v>405</v>
      </c>
    </row>
    <row r="47" spans="2:45" x14ac:dyDescent="0.25">
      <c r="AL47" t="s">
        <v>170</v>
      </c>
      <c r="AM47" t="s">
        <v>163</v>
      </c>
      <c r="AN47" t="s">
        <v>106</v>
      </c>
      <c r="AO47" s="5">
        <v>0.98041643491842145</v>
      </c>
      <c r="AP47" s="5">
        <v>3.1207995652252053E-2</v>
      </c>
      <c r="AQ47" s="5">
        <v>1.9612582685488503E-2</v>
      </c>
      <c r="AR47" s="5">
        <v>0.95674062773478297</v>
      </c>
      <c r="AS47" s="5">
        <v>0.99931211406225795</v>
      </c>
    </row>
    <row r="48" spans="2:45" x14ac:dyDescent="0.25">
      <c r="AL48" t="s">
        <v>171</v>
      </c>
      <c r="AM48" t="s">
        <v>137</v>
      </c>
      <c r="AN48" t="s">
        <v>106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</row>
    <row r="49" spans="38:45" x14ac:dyDescent="0.25">
      <c r="AL49" t="s">
        <v>172</v>
      </c>
      <c r="AM49" t="s">
        <v>112</v>
      </c>
      <c r="AN49" t="s">
        <v>73</v>
      </c>
      <c r="AO49" s="5">
        <v>127.224941282769</v>
      </c>
      <c r="AP49" s="5">
        <v>6.759946434512476</v>
      </c>
      <c r="AQ49" s="5">
        <v>4.2482705353357675</v>
      </c>
      <c r="AR49" s="5">
        <v>122.526469595731</v>
      </c>
      <c r="AS49" s="5">
        <v>131.578301359161</v>
      </c>
    </row>
    <row r="50" spans="38:45" x14ac:dyDescent="0.25">
      <c r="AL50" t="s">
        <v>173</v>
      </c>
      <c r="AM50" t="s">
        <v>114</v>
      </c>
      <c r="AN50" t="s">
        <v>73</v>
      </c>
      <c r="AO50" s="5">
        <v>636.1247064138455</v>
      </c>
      <c r="AP50" s="5">
        <v>33.799732172562685</v>
      </c>
      <c r="AQ50" s="5">
        <v>21.241352676679028</v>
      </c>
      <c r="AR50" s="5">
        <v>612.63234797865698</v>
      </c>
      <c r="AS50" s="5">
        <v>657.89150679580598</v>
      </c>
    </row>
    <row r="51" spans="38:45" x14ac:dyDescent="0.25">
      <c r="AL51" t="s">
        <v>174</v>
      </c>
      <c r="AM51" t="s">
        <v>141</v>
      </c>
      <c r="AN51" t="s">
        <v>73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</row>
    <row r="52" spans="38:45" x14ac:dyDescent="0.25">
      <c r="AL52" t="s">
        <v>175</v>
      </c>
      <c r="AM52" t="s">
        <v>143</v>
      </c>
      <c r="AN52" t="s">
        <v>73</v>
      </c>
      <c r="AO52" s="5">
        <v>10257.343173692567</v>
      </c>
      <c r="AP52" s="5">
        <v>4058.6350421865682</v>
      </c>
      <c r="AQ52" s="5">
        <v>2550.6385043783166</v>
      </c>
      <c r="AR52" s="5">
        <v>7661.1563493536996</v>
      </c>
      <c r="AS52" s="5">
        <v>13714.2968238091</v>
      </c>
    </row>
    <row r="53" spans="38:45" x14ac:dyDescent="0.25">
      <c r="AL53" t="s">
        <v>176</v>
      </c>
      <c r="AM53" t="s">
        <v>116</v>
      </c>
      <c r="AN53" t="s">
        <v>73</v>
      </c>
      <c r="AO53" s="5">
        <v>216.25</v>
      </c>
      <c r="AP53" s="5">
        <v>14.605487050648748</v>
      </c>
      <c r="AQ53" s="5">
        <v>9.1787798753429097</v>
      </c>
      <c r="AR53" s="5">
        <v>206</v>
      </c>
      <c r="AS53" s="5">
        <v>224</v>
      </c>
    </row>
    <row r="54" spans="38:45" x14ac:dyDescent="0.25">
      <c r="AL54" t="s">
        <v>177</v>
      </c>
      <c r="AM54" t="s">
        <v>118</v>
      </c>
      <c r="AN54" t="s">
        <v>73</v>
      </c>
      <c r="AO54" s="5">
        <v>172.75</v>
      </c>
      <c r="AP54" s="5">
        <v>10.664361265801686</v>
      </c>
      <c r="AQ54" s="5">
        <v>6.7019897542943667</v>
      </c>
      <c r="AR54" s="5">
        <v>166</v>
      </c>
      <c r="AS54" s="5">
        <v>179</v>
      </c>
    </row>
    <row r="55" spans="38:45" x14ac:dyDescent="0.25">
      <c r="AL55" t="s">
        <v>178</v>
      </c>
      <c r="AM55" t="s">
        <v>120</v>
      </c>
      <c r="AN55" t="s">
        <v>73</v>
      </c>
      <c r="AO55" s="5">
        <v>127.224941282769</v>
      </c>
      <c r="AP55" s="5">
        <v>6.759946434512476</v>
      </c>
      <c r="AQ55" s="5">
        <v>4.2482705353357675</v>
      </c>
      <c r="AR55" s="5">
        <v>122.526469595731</v>
      </c>
      <c r="AS55" s="5">
        <v>131.578301359161</v>
      </c>
    </row>
    <row r="56" spans="38:45" x14ac:dyDescent="0.25">
      <c r="AL56" t="s">
        <v>179</v>
      </c>
      <c r="AM56" t="s">
        <v>122</v>
      </c>
      <c r="AN56" t="s">
        <v>73</v>
      </c>
      <c r="AO56" s="5">
        <v>10893.46788010644</v>
      </c>
      <c r="AP56" s="5">
        <v>4076.9948406056201</v>
      </c>
      <c r="AQ56" s="5">
        <v>2562.1766713466454</v>
      </c>
      <c r="AR56" s="5">
        <v>8273.7886973323602</v>
      </c>
      <c r="AS56" s="5">
        <v>14364.0595178896</v>
      </c>
    </row>
    <row r="57" spans="38:45" x14ac:dyDescent="0.25">
      <c r="AL57" t="s">
        <v>180</v>
      </c>
      <c r="AM57" t="s">
        <v>132</v>
      </c>
      <c r="AN57" t="s">
        <v>106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</row>
    <row r="58" spans="38:45" x14ac:dyDescent="0.25">
      <c r="AL58" t="s">
        <v>181</v>
      </c>
      <c r="AM58" t="s">
        <v>134</v>
      </c>
      <c r="AN58" t="s">
        <v>106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</row>
    <row r="59" spans="38:45" x14ac:dyDescent="0.25">
      <c r="AL59" t="s">
        <v>182</v>
      </c>
      <c r="AM59" t="s">
        <v>161</v>
      </c>
      <c r="AN59" t="s">
        <v>106</v>
      </c>
      <c r="AO59" s="5">
        <v>173.75</v>
      </c>
      <c r="AP59" s="5">
        <v>10.584923576792088</v>
      </c>
      <c r="AQ59" s="5">
        <v>6.6520673478250352</v>
      </c>
      <c r="AR59" s="5">
        <v>168</v>
      </c>
      <c r="AS59" s="5">
        <v>180</v>
      </c>
    </row>
    <row r="60" spans="38:45" x14ac:dyDescent="0.25">
      <c r="AL60" t="s">
        <v>183</v>
      </c>
      <c r="AM60" t="s">
        <v>163</v>
      </c>
      <c r="AN60" t="s">
        <v>106</v>
      </c>
      <c r="AO60" s="5">
        <v>0.59254402897918601</v>
      </c>
      <c r="AP60" s="5">
        <v>3.2332706613042321E-2</v>
      </c>
      <c r="AQ60" s="5">
        <v>2.0319404327018134E-2</v>
      </c>
      <c r="AR60" s="5">
        <v>0.56725217405431305</v>
      </c>
      <c r="AS60" s="5">
        <v>0.60915880258870903</v>
      </c>
    </row>
    <row r="61" spans="38:45" x14ac:dyDescent="0.25">
      <c r="AL61" t="s">
        <v>184</v>
      </c>
      <c r="AM61" t="s">
        <v>137</v>
      </c>
      <c r="AN61" t="s">
        <v>106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</row>
  </sheetData>
  <dataConsolidate/>
  <conditionalFormatting pivot="1" sqref="G3:G42">
    <cfRule type="expression" dxfId="31" priority="14">
      <formula>G3=200000000000000000000</formula>
    </cfRule>
  </conditionalFormatting>
  <conditionalFormatting pivot="1" sqref="T3:T15">
    <cfRule type="expression" dxfId="30" priority="13">
      <formula>T3=200000000000000000000</formula>
    </cfRule>
  </conditionalFormatting>
  <conditionalFormatting pivot="1" sqref="T3:T15">
    <cfRule type="expression" dxfId="29" priority="12">
      <formula>T3=300000000000000000000</formula>
    </cfRule>
  </conditionalFormatting>
  <conditionalFormatting pivot="1" sqref="G3:G42">
    <cfRule type="expression" dxfId="28" priority="11">
      <formula>G3=300000000000000000000</formula>
    </cfRule>
  </conditionalFormatting>
  <conditionalFormatting pivot="1" sqref="F3:F42">
    <cfRule type="expression" dxfId="27" priority="10">
      <formula>F3=0</formula>
    </cfRule>
  </conditionalFormatting>
  <conditionalFormatting pivot="1" sqref="F3:F42">
    <cfRule type="expression" dxfId="26" priority="9">
      <formula>F3=1</formula>
    </cfRule>
  </conditionalFormatting>
  <conditionalFormatting pivot="1" sqref="T3:T15">
    <cfRule type="expression" dxfId="25" priority="8">
      <formula>T3=400000000000000000000</formula>
    </cfRule>
  </conditionalFormatting>
  <conditionalFormatting pivot="1" sqref="AP3:AP61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4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6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14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14.5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6.2278090318414998</v>
      </c>
      <c r="H3">
        <v>2E+20</v>
      </c>
      <c r="I3">
        <v>3.3172868440642</v>
      </c>
      <c r="J3">
        <v>9.5489811649774303</v>
      </c>
      <c r="K3">
        <v>14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6.0792049216952879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0.21866569445862416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5.7547110085867796</v>
      </c>
      <c r="S3" cm="1">
        <f t="array" ref="S3">MAX(IF((DiscreteStatsTable[GroupByKey]=DiscreteStatsTable[[#This Row],[GroupByKey]]),(DiscreteStatsTable[GroupByKey]=DiscreteStatsTable[[#This Row],[GroupByKey]])*DiscreteStatsTable[Average]))</f>
        <v>6.2278090318414998</v>
      </c>
      <c r="T3" cm="1">
        <f t="array" ref="T3">MIN(IF((DiscreteStatsTable[GroupByKey]=DiscreteStatsTable[[#This Row],[GroupByKey]]),(DiscreteStatsTable[GroupByKey]=DiscreteStatsTable[[#This Row],[GroupByKey]])*DiscreteStatsTable[Minimum]))</f>
        <v>3.3172868440642</v>
      </c>
      <c r="U3" cm="1">
        <f t="array" ref="U3">MAX(IF((DiscreteStatsTable[GroupByKey]=DiscreteStatsTable[[#This Row],[GroupByKey]]),(DiscreteStatsTable[GroupByKey]=DiscreteStatsTable[[#This Row],[GroupByKey]])*DiscreteStatsTable[Maximum]))</f>
        <v>9.5489811649774303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14.5</v>
      </c>
      <c r="W3">
        <f>IF((DiscreteStatsTable[[#This Row],[RepsRequested]]&gt;1),DiscreteStatsTable[[#This Row],[HalfWidth]],DiscreteStatsTable[[#This Row],[BatchMeansHalfWidth]])</f>
        <v>0.34794591571107231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</v>
      </c>
      <c r="H4">
        <v>2E+20</v>
      </c>
      <c r="I4">
        <v>0</v>
      </c>
      <c r="J4">
        <v>0</v>
      </c>
      <c r="K4">
        <v>14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14.5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6.2278090318414998</v>
      </c>
      <c r="H5">
        <v>2E+20</v>
      </c>
      <c r="I5">
        <v>3.3172868440642</v>
      </c>
      <c r="J5">
        <v>9.5489811649774303</v>
      </c>
      <c r="K5">
        <v>14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6.0792049216952879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0.21866569445862416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5" cm="1">
        <f t="array" ref="R5">MIN(IF((DiscreteStatsTable[GroupByKey]=DiscreteStatsTable[[#This Row],[GroupByKey]]),(DiscreteStatsTable[GroupByKey]=DiscreteStatsTable[[#This Row],[GroupByKey]])*DiscreteStatsTable[Average]))</f>
        <v>5.7547110085867796</v>
      </c>
      <c r="S5" cm="1">
        <f t="array" ref="S5">MAX(IF((DiscreteStatsTable[GroupByKey]=DiscreteStatsTable[[#This Row],[GroupByKey]]),(DiscreteStatsTable[GroupByKey]=DiscreteStatsTable[[#This Row],[GroupByKey]])*DiscreteStatsTable[Average]))</f>
        <v>6.2278090318414998</v>
      </c>
      <c r="T5" cm="1">
        <f t="array" ref="T5">MIN(IF((DiscreteStatsTable[GroupByKey]=DiscreteStatsTable[[#This Row],[GroupByKey]]),(DiscreteStatsTable[GroupByKey]=DiscreteStatsTable[[#This Row],[GroupByKey]])*DiscreteStatsTable[Minimum]))</f>
        <v>3.3172868440642</v>
      </c>
      <c r="U5" cm="1">
        <f t="array" ref="U5">MAX(IF((DiscreteStatsTable[GroupByKey]=DiscreteStatsTable[[#This Row],[GroupByKey]]),(DiscreteStatsTable[GroupByKey]=DiscreteStatsTable[[#This Row],[GroupByKey]])*DiscreteStatsTable[Maximum]))</f>
        <v>9.5489811649774303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14.5</v>
      </c>
      <c r="W5">
        <f>IF((DiscreteStatsTable[[#This Row],[RepsRequested]]&gt;1),DiscreteStatsTable[[#This Row],[HalfWidth]],DiscreteStatsTable[[#This Row],[BatchMeansHalfWidth]])</f>
        <v>0.34794591571107231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2</v>
      </c>
      <c r="D6" t="s">
        <v>71</v>
      </c>
      <c r="E6" t="s">
        <v>72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16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14.5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2</v>
      </c>
      <c r="D7" t="s">
        <v>71</v>
      </c>
      <c r="E7" t="s">
        <v>74</v>
      </c>
      <c r="F7" t="s">
        <v>73</v>
      </c>
      <c r="G7">
        <v>5.7547110085867796</v>
      </c>
      <c r="H7">
        <v>2E+20</v>
      </c>
      <c r="I7">
        <v>3.5734079401413501</v>
      </c>
      <c r="J7">
        <v>9.3296414377584291</v>
      </c>
      <c r="K7">
        <v>16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6.0792049216952879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0.21866569445862416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7" cm="1">
        <f t="array" ref="R7">MIN(IF((DiscreteStatsTable[GroupByKey]=DiscreteStatsTable[[#This Row],[GroupByKey]]),(DiscreteStatsTable[GroupByKey]=DiscreteStatsTable[[#This Row],[GroupByKey]])*DiscreteStatsTable[Average]))</f>
        <v>5.7547110085867796</v>
      </c>
      <c r="S7" cm="1">
        <f t="array" ref="S7">MAX(IF((DiscreteStatsTable[GroupByKey]=DiscreteStatsTable[[#This Row],[GroupByKey]]),(DiscreteStatsTable[GroupByKey]=DiscreteStatsTable[[#This Row],[GroupByKey]])*DiscreteStatsTable[Average]))</f>
        <v>6.2278090318414998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3.3172868440642</v>
      </c>
      <c r="U7" cm="1">
        <f t="array" ref="U7">MAX(IF((DiscreteStatsTable[GroupByKey]=DiscreteStatsTable[[#This Row],[GroupByKey]]),(DiscreteStatsTable[GroupByKey]=DiscreteStatsTable[[#This Row],[GroupByKey]])*DiscreteStatsTable[Maximum]))</f>
        <v>9.5489811649774303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14.5</v>
      </c>
      <c r="W7">
        <f>IF((DiscreteStatsTable[[#This Row],[RepsRequested]]&gt;1),DiscreteStatsTable[[#This Row],[HalfWidth]],DiscreteStatsTable[[#This Row],[BatchMeansHalfWidth]])</f>
        <v>0.34794591571107231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75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16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14.5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76</v>
      </c>
      <c r="F9" t="s">
        <v>73</v>
      </c>
      <c r="G9">
        <v>5.7547110085867796</v>
      </c>
      <c r="H9">
        <v>2E+20</v>
      </c>
      <c r="I9">
        <v>3.5734079401413501</v>
      </c>
      <c r="J9">
        <v>9.3296414377584291</v>
      </c>
      <c r="K9">
        <v>16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6.0792049216952879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0.21866569445862416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5.7547110085867796</v>
      </c>
      <c r="S9" cm="1">
        <f t="array" ref="S9">MAX(IF((DiscreteStatsTable[GroupByKey]=DiscreteStatsTable[[#This Row],[GroupByKey]]),(DiscreteStatsTable[GroupByKey]=DiscreteStatsTable[[#This Row],[GroupByKey]])*DiscreteStatsTable[Average]))</f>
        <v>6.2278090318414998</v>
      </c>
      <c r="T9" cm="1">
        <f t="array" ref="T9">MIN(IF((DiscreteStatsTable[GroupByKey]=DiscreteStatsTable[[#This Row],[GroupByKey]]),(DiscreteStatsTable[GroupByKey]=DiscreteStatsTable[[#This Row],[GroupByKey]])*DiscreteStatsTable[Minimum]))</f>
        <v>3.3172868440642</v>
      </c>
      <c r="U9" cm="1">
        <f t="array" ref="U9">MAX(IF((DiscreteStatsTable[GroupByKey]=DiscreteStatsTable[[#This Row],[GroupByKey]]),(DiscreteStatsTable[GroupByKey]=DiscreteStatsTable[[#This Row],[GroupByKey]])*DiscreteStatsTable[Maximum]))</f>
        <v>9.5489811649774303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14.5</v>
      </c>
      <c r="W9">
        <f>IF((DiscreteStatsTable[[#This Row],[RepsRequested]]&gt;1),DiscreteStatsTable[[#This Row],[HalfWidth]],DiscreteStatsTable[[#This Row],[BatchMeansHalfWidth]])</f>
        <v>0.34794591571107231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3</v>
      </c>
      <c r="D10" t="s">
        <v>71</v>
      </c>
      <c r="E10" t="s">
        <v>72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12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14.5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3</v>
      </c>
      <c r="D11" t="s">
        <v>71</v>
      </c>
      <c r="E11" t="s">
        <v>74</v>
      </c>
      <c r="F11" t="s">
        <v>73</v>
      </c>
      <c r="G11">
        <v>6.1498876505243603</v>
      </c>
      <c r="H11">
        <v>2E+20</v>
      </c>
      <c r="I11">
        <v>3.8209429227020499</v>
      </c>
      <c r="J11">
        <v>9.0030279609929895</v>
      </c>
      <c r="K11">
        <v>12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6.0792049216952879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0.21866569445862416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5.7547110085867796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6.2278090318414998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3.3172868440642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9.5489811649774303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14.5</v>
      </c>
      <c r="W11">
        <f>IF((DiscreteStatsTable[[#This Row],[RepsRequested]]&gt;1),DiscreteStatsTable[[#This Row],[HalfWidth]],DiscreteStatsTable[[#This Row],[BatchMeansHalfWidth]])</f>
        <v>0.34794591571107231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3</v>
      </c>
      <c r="D12" t="s">
        <v>71</v>
      </c>
      <c r="E12" t="s">
        <v>75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12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14.5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3</v>
      </c>
      <c r="D13" t="s">
        <v>71</v>
      </c>
      <c r="E13" t="s">
        <v>76</v>
      </c>
      <c r="F13" t="s">
        <v>73</v>
      </c>
      <c r="G13">
        <v>6.1498876505243603</v>
      </c>
      <c r="H13">
        <v>2E+20</v>
      </c>
      <c r="I13">
        <v>3.8209429227020499</v>
      </c>
      <c r="J13">
        <v>9.0030279609929895</v>
      </c>
      <c r="K13">
        <v>12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6.0792049216952879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0.21866569445862416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5.7547110085867796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6.2278090318414998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3.3172868440642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9.5489811649774303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14.5</v>
      </c>
      <c r="W13">
        <f>IF((DiscreteStatsTable[[#This Row],[RepsRequested]]&gt;1),DiscreteStatsTable[[#This Row],[HalfWidth]],DiscreteStatsTable[[#This Row],[BatchMeansHalfWidth]])</f>
        <v>0.34794591571107231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4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16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14.5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4</v>
      </c>
      <c r="D15" t="s">
        <v>71</v>
      </c>
      <c r="E15" t="s">
        <v>74</v>
      </c>
      <c r="F15" t="s">
        <v>73</v>
      </c>
      <c r="G15">
        <v>6.1844119958285102</v>
      </c>
      <c r="H15">
        <v>2E+20</v>
      </c>
      <c r="I15">
        <v>3.62169819425515</v>
      </c>
      <c r="J15">
        <v>8.9919586916857792</v>
      </c>
      <c r="K15">
        <v>16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6.0792049216952879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0.21866569445862416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5.7547110085867796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6.2278090318414998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3.3172868440642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9.5489811649774303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14.5</v>
      </c>
      <c r="W15">
        <f>IF((DiscreteStatsTable[[#This Row],[RepsRequested]]&gt;1),DiscreteStatsTable[[#This Row],[HalfWidth]],DiscreteStatsTable[[#This Row],[BatchMeansHalfWidth]])</f>
        <v>0.34794591571107231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4</v>
      </c>
      <c r="D16" t="s">
        <v>71</v>
      </c>
      <c r="E16" t="s">
        <v>75</v>
      </c>
      <c r="F16" t="s">
        <v>73</v>
      </c>
      <c r="G16">
        <v>0</v>
      </c>
      <c r="H16">
        <v>2E+20</v>
      </c>
      <c r="I16">
        <v>0</v>
      </c>
      <c r="J16">
        <v>0</v>
      </c>
      <c r="K16">
        <v>16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14.5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4</v>
      </c>
      <c r="D17" t="s">
        <v>71</v>
      </c>
      <c r="E17" t="s">
        <v>76</v>
      </c>
      <c r="F17" t="s">
        <v>73</v>
      </c>
      <c r="G17">
        <v>6.1844119958285102</v>
      </c>
      <c r="H17">
        <v>2E+20</v>
      </c>
      <c r="I17">
        <v>3.62169819425515</v>
      </c>
      <c r="J17">
        <v>8.9919586916857792</v>
      </c>
      <c r="K17">
        <v>16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6.0792049216952879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0.21866569445862416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0.34794591571107231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5.7547110085867796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6.2278090318414998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3.3172868440642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9.5489811649774303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14.5</v>
      </c>
      <c r="W17">
        <f>IF((DiscreteStatsTable[[#This Row],[RepsRequested]]&gt;1),DiscreteStatsTable[[#This Row],[HalfWidth]],DiscreteStatsTable[[#This Row],[BatchMeansHalfWidth]])</f>
        <v>0.34794591571107231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1</v>
      </c>
      <c r="D18" t="s">
        <v>77</v>
      </c>
      <c r="E18" t="s">
        <v>72</v>
      </c>
      <c r="F18" t="s">
        <v>73</v>
      </c>
      <c r="G18">
        <v>0.34181456478838201</v>
      </c>
      <c r="H18">
        <v>2E+20</v>
      </c>
      <c r="I18">
        <v>0.164538401432719</v>
      </c>
      <c r="J18">
        <v>0.582585795870179</v>
      </c>
      <c r="K18">
        <v>232</v>
      </c>
      <c r="L1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0.34347389333734257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0.33925837836962103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0.35093020776868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0.16153140563176299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0.58829177361728902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224</v>
      </c>
      <c r="W18">
        <f>IF((DiscreteStatsTable[[#This Row],[RepsRequested]]&gt;1),DiscreteStatsTable[[#This Row],[HalfWidth]],DiscreteStatsTable[[#This Row],[BatchMeansHalfWidth]])</f>
        <v>8.1459443005339367E-3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1</v>
      </c>
      <c r="D19" t="s">
        <v>77</v>
      </c>
      <c r="E19" t="s">
        <v>74</v>
      </c>
      <c r="F19" t="s">
        <v>73</v>
      </c>
      <c r="G19">
        <v>64.674862244941806</v>
      </c>
      <c r="H19">
        <v>2E+20</v>
      </c>
      <c r="I19">
        <v>1.31384536795797</v>
      </c>
      <c r="J19">
        <v>126.40933200636201</v>
      </c>
      <c r="K19">
        <v>232</v>
      </c>
      <c r="L1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58.419903961647904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9.9742280787683679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15.871222648666704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48.9488891883123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69.095995496749396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1.1041395278103501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137.43873630026201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224</v>
      </c>
      <c r="W19">
        <f>IF((DiscreteStatsTable[[#This Row],[RepsRequested]]&gt;1),DiscreteStatsTable[[#This Row],[HalfWidth]],DiscreteStatsTable[[#This Row],[BatchMeansHalfWidth]])</f>
        <v>15.871222648666704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1</v>
      </c>
      <c r="D20" t="s">
        <v>77</v>
      </c>
      <c r="E20" t="s">
        <v>75</v>
      </c>
      <c r="F20" t="s">
        <v>73</v>
      </c>
      <c r="G20">
        <v>0.34181456478838201</v>
      </c>
      <c r="H20">
        <v>2E+20</v>
      </c>
      <c r="I20">
        <v>0.164538401432719</v>
      </c>
      <c r="J20">
        <v>0.582585795870179</v>
      </c>
      <c r="K20">
        <v>232</v>
      </c>
      <c r="L2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0.34347389333734257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0.33925837836962103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0.35093020776868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0.16153140563176299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0.58829177361728902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224</v>
      </c>
      <c r="W20">
        <f>IF((DiscreteStatsTable[[#This Row],[RepsRequested]]&gt;1),DiscreteStatsTable[[#This Row],[HalfWidth]],DiscreteStatsTable[[#This Row],[BatchMeansHalfWidth]])</f>
        <v>8.1459443005339367E-3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1</v>
      </c>
      <c r="D21" t="s">
        <v>77</v>
      </c>
      <c r="E21" t="s">
        <v>76</v>
      </c>
      <c r="F21" t="s">
        <v>73</v>
      </c>
      <c r="G21">
        <v>1.70907282394191</v>
      </c>
      <c r="H21">
        <v>2E+20</v>
      </c>
      <c r="I21">
        <v>0.82269200716359603</v>
      </c>
      <c r="J21">
        <v>2.9129289793508901</v>
      </c>
      <c r="K21">
        <v>232</v>
      </c>
      <c r="L2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1.7173694666867099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2.5596486221967425E-2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4.0729721502672782E-2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1.6962918918481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1.7546510388434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0.80765702815881502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2.94145886808644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224</v>
      </c>
      <c r="W21">
        <f>IF((DiscreteStatsTable[[#This Row],[RepsRequested]]&gt;1),DiscreteStatsTable[[#This Row],[HalfWidth]],DiscreteStatsTable[[#This Row],[BatchMeansHalfWidth]])</f>
        <v>4.0729721502672782E-2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1</v>
      </c>
      <c r="D22" t="s">
        <v>77</v>
      </c>
      <c r="E22" t="s">
        <v>78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232</v>
      </c>
      <c r="L2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224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1</v>
      </c>
      <c r="D23" t="s">
        <v>77</v>
      </c>
      <c r="E23" t="s">
        <v>79</v>
      </c>
      <c r="F23" t="s">
        <v>73</v>
      </c>
      <c r="G23">
        <v>62.965789420999897</v>
      </c>
      <c r="H23">
        <v>2E+20</v>
      </c>
      <c r="I23">
        <v>0</v>
      </c>
      <c r="J23">
        <v>124.436906947956</v>
      </c>
      <c r="K23">
        <v>232</v>
      </c>
      <c r="L2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56.702534494961206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9.9549172097510752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15.840494746788753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47.239427076198901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67.341344457906004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134.93902171208401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224</v>
      </c>
      <c r="W23">
        <f>IF((DiscreteStatsTable[[#This Row],[RepsRequested]]&gt;1),DiscreteStatsTable[[#This Row],[HalfWidth]],DiscreteStatsTable[[#This Row],[BatchMeansHalfWidth]])</f>
        <v>15.840494746788753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2</v>
      </c>
      <c r="D24" t="s">
        <v>77</v>
      </c>
      <c r="E24" t="s">
        <v>72</v>
      </c>
      <c r="F24" t="s">
        <v>73</v>
      </c>
      <c r="G24">
        <v>0.35093020776868</v>
      </c>
      <c r="H24">
        <v>2E+20</v>
      </c>
      <c r="I24">
        <v>0.16732224396051801</v>
      </c>
      <c r="J24">
        <v>0.57504037316218204</v>
      </c>
      <c r="K24">
        <v>217</v>
      </c>
      <c r="L2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0.34347389333734257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0.33925837836962103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0.35093020776868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0.16153140563176299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0.58829177361728902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224</v>
      </c>
      <c r="W24">
        <f>IF((DiscreteStatsTable[[#This Row],[RepsRequested]]&gt;1),DiscreteStatsTable[[#This Row],[HalfWidth]],DiscreteStatsTable[[#This Row],[BatchMeansHalfWidth]])</f>
        <v>8.1459443005339367E-3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2</v>
      </c>
      <c r="D25" t="s">
        <v>77</v>
      </c>
      <c r="E25" t="s">
        <v>74</v>
      </c>
      <c r="F25" t="s">
        <v>73</v>
      </c>
      <c r="G25">
        <v>69.095995496749396</v>
      </c>
      <c r="H25">
        <v>2E+20</v>
      </c>
      <c r="I25">
        <v>2.3646804396286001</v>
      </c>
      <c r="J25">
        <v>137.43873630026201</v>
      </c>
      <c r="K25">
        <v>217</v>
      </c>
      <c r="L2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58.419903961647904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9.9742280787683679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15.871222648666704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48.9488891883123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69.095995496749396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1.1041395278103501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137.43873630026201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224</v>
      </c>
      <c r="W25">
        <f>IF((DiscreteStatsTable[[#This Row],[RepsRequested]]&gt;1),DiscreteStatsTable[[#This Row],[HalfWidth]],DiscreteStatsTable[[#This Row],[BatchMeansHalfWidth]])</f>
        <v>15.871222648666704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2</v>
      </c>
      <c r="D26" t="s">
        <v>77</v>
      </c>
      <c r="E26" t="s">
        <v>75</v>
      </c>
      <c r="F26" t="s">
        <v>73</v>
      </c>
      <c r="G26">
        <v>0.35093020776868</v>
      </c>
      <c r="H26">
        <v>2E+20</v>
      </c>
      <c r="I26">
        <v>0.16732224396051801</v>
      </c>
      <c r="J26">
        <v>0.57504037316218204</v>
      </c>
      <c r="K26">
        <v>217</v>
      </c>
      <c r="L2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0.34347389333734257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0.33925837836962103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0.35093020776868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0.16153140563176299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0.58829177361728902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224</v>
      </c>
      <c r="W26">
        <f>IF((DiscreteStatsTable[[#This Row],[RepsRequested]]&gt;1),DiscreteStatsTable[[#This Row],[HalfWidth]],DiscreteStatsTable[[#This Row],[BatchMeansHalfWidth]])</f>
        <v>8.1459443005339367E-3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2</v>
      </c>
      <c r="D27" t="s">
        <v>77</v>
      </c>
      <c r="E27" t="s">
        <v>76</v>
      </c>
      <c r="F27" t="s">
        <v>73</v>
      </c>
      <c r="G27">
        <v>1.7546510388434</v>
      </c>
      <c r="H27">
        <v>2E+20</v>
      </c>
      <c r="I27">
        <v>0.83661121980259201</v>
      </c>
      <c r="J27">
        <v>2.8752018658109102</v>
      </c>
      <c r="K27">
        <v>217</v>
      </c>
      <c r="L2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1.7173694666867099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2.5596486221967425E-2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4.0729721502672782E-2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1.6962918918481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1.7546510388434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0.80765702815881502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2.94145886808644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224</v>
      </c>
      <c r="W27">
        <f>IF((DiscreteStatsTable[[#This Row],[RepsRequested]]&gt;1),DiscreteStatsTable[[#This Row],[HalfWidth]],DiscreteStatsTable[[#This Row],[BatchMeansHalfWidth]])</f>
        <v>4.0729721502672782E-2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2</v>
      </c>
      <c r="D28" t="s">
        <v>77</v>
      </c>
      <c r="E28" t="s">
        <v>78</v>
      </c>
      <c r="F28" t="s">
        <v>73</v>
      </c>
      <c r="G28">
        <v>0</v>
      </c>
      <c r="H28">
        <v>2E+20</v>
      </c>
      <c r="I28">
        <v>0</v>
      </c>
      <c r="J28">
        <v>0</v>
      </c>
      <c r="K28">
        <v>217</v>
      </c>
      <c r="L2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224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2</v>
      </c>
      <c r="D29" t="s">
        <v>77</v>
      </c>
      <c r="E29" t="s">
        <v>79</v>
      </c>
      <c r="F29" t="s">
        <v>73</v>
      </c>
      <c r="G29">
        <v>67.341344457906004</v>
      </c>
      <c r="H29">
        <v>2E+20</v>
      </c>
      <c r="I29">
        <v>0</v>
      </c>
      <c r="J29">
        <v>134.93902171208401</v>
      </c>
      <c r="K29">
        <v>217</v>
      </c>
      <c r="L2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56.702534494961206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9.9549172097510752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15.840494746788753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47.239427076198901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67.341344457906004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134.93902171208401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224</v>
      </c>
      <c r="W29">
        <f>IF((DiscreteStatsTable[[#This Row],[RepsRequested]]&gt;1),DiscreteStatsTable[[#This Row],[HalfWidth]],DiscreteStatsTable[[#This Row],[BatchMeansHalfWidth]])</f>
        <v>15.840494746788753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3</v>
      </c>
      <c r="D30" t="s">
        <v>77</v>
      </c>
      <c r="E30" t="s">
        <v>72</v>
      </c>
      <c r="F30" t="s">
        <v>73</v>
      </c>
      <c r="G30">
        <v>0.33925837836962103</v>
      </c>
      <c r="H30">
        <v>2E+20</v>
      </c>
      <c r="I30">
        <v>0.16153140563176299</v>
      </c>
      <c r="J30">
        <v>0.58275204028291205</v>
      </c>
      <c r="K30">
        <v>214</v>
      </c>
      <c r="L3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0.34347389333734257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0.33925837836962103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0.35093020776868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0.16153140563176299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0.58829177361728902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224</v>
      </c>
      <c r="W30">
        <f>IF((DiscreteStatsTable[[#This Row],[RepsRequested]]&gt;1),DiscreteStatsTable[[#This Row],[HalfWidth]],DiscreteStatsTable[[#This Row],[BatchMeansHalfWidth]])</f>
        <v>8.1459443005339367E-3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3</v>
      </c>
      <c r="D31" t="s">
        <v>77</v>
      </c>
      <c r="E31" t="s">
        <v>74</v>
      </c>
      <c r="F31" t="s">
        <v>73</v>
      </c>
      <c r="G31">
        <v>50.9598689165881</v>
      </c>
      <c r="H31">
        <v>2E+20</v>
      </c>
      <c r="I31">
        <v>1.4236351662025499</v>
      </c>
      <c r="J31">
        <v>97.618935576835995</v>
      </c>
      <c r="K31">
        <v>214</v>
      </c>
      <c r="L3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58.419903961647904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9.9742280787683679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15.871222648666704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48.9488891883123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69.095995496749396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1.1041395278103501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137.43873630026201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224</v>
      </c>
      <c r="W31">
        <f>IF((DiscreteStatsTable[[#This Row],[RepsRequested]]&gt;1),DiscreteStatsTable[[#This Row],[HalfWidth]],DiscreteStatsTable[[#This Row],[BatchMeansHalfWidth]])</f>
        <v>15.871222648666704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3</v>
      </c>
      <c r="D32" t="s">
        <v>77</v>
      </c>
      <c r="E32" t="s">
        <v>75</v>
      </c>
      <c r="F32" t="s">
        <v>73</v>
      </c>
      <c r="G32">
        <v>0.33925837836962103</v>
      </c>
      <c r="H32">
        <v>2E+20</v>
      </c>
      <c r="I32">
        <v>0.16153140563176299</v>
      </c>
      <c r="J32">
        <v>0.58275204028291205</v>
      </c>
      <c r="K32">
        <v>214</v>
      </c>
      <c r="L3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0.34347389333734257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0.33925837836962103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0.35093020776868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0.16153140563176299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0.58829177361728902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224</v>
      </c>
      <c r="W32">
        <f>IF((DiscreteStatsTable[[#This Row],[RepsRequested]]&gt;1),DiscreteStatsTable[[#This Row],[HalfWidth]],DiscreteStatsTable[[#This Row],[BatchMeansHalfWidth]])</f>
        <v>8.1459443005339367E-3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3</v>
      </c>
      <c r="D33" t="s">
        <v>77</v>
      </c>
      <c r="E33" t="s">
        <v>76</v>
      </c>
      <c r="F33" t="s">
        <v>73</v>
      </c>
      <c r="G33">
        <v>1.6962918918481</v>
      </c>
      <c r="H33">
        <v>2E+20</v>
      </c>
      <c r="I33">
        <v>0.80765702815881502</v>
      </c>
      <c r="J33">
        <v>2.91376020141456</v>
      </c>
      <c r="K33">
        <v>214</v>
      </c>
      <c r="L3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1.7173694666867099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2.5596486221967425E-2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4.0729721502672782E-2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1.6962918918481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1.7546510388434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0.80765702815881502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2.94145886808644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224</v>
      </c>
      <c r="W33">
        <f>IF((DiscreteStatsTable[[#This Row],[RepsRequested]]&gt;1),DiscreteStatsTable[[#This Row],[HalfWidth]],DiscreteStatsTable[[#This Row],[BatchMeansHalfWidth]])</f>
        <v>4.0729721502672782E-2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3</v>
      </c>
      <c r="D34" t="s">
        <v>77</v>
      </c>
      <c r="E34" t="s">
        <v>78</v>
      </c>
      <c r="F34" t="s">
        <v>73</v>
      </c>
      <c r="G34">
        <v>0</v>
      </c>
      <c r="H34">
        <v>2E+20</v>
      </c>
      <c r="I34">
        <v>0</v>
      </c>
      <c r="J34">
        <v>0</v>
      </c>
      <c r="K34">
        <v>214</v>
      </c>
      <c r="L3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224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3</v>
      </c>
      <c r="D35" t="s">
        <v>77</v>
      </c>
      <c r="E35" t="s">
        <v>79</v>
      </c>
      <c r="F35" t="s">
        <v>73</v>
      </c>
      <c r="G35">
        <v>49.263577024740002</v>
      </c>
      <c r="H35">
        <v>2E+20</v>
      </c>
      <c r="I35">
        <v>0</v>
      </c>
      <c r="J35">
        <v>96.569639769645207</v>
      </c>
      <c r="K35">
        <v>214</v>
      </c>
      <c r="L3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56.702534494961206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9.9549172097510752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15.840494746788753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47.239427076198901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67.341344457906004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134.93902171208401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224</v>
      </c>
      <c r="W35">
        <f>IF((DiscreteStatsTable[[#This Row],[RepsRequested]]&gt;1),DiscreteStatsTable[[#This Row],[HalfWidth]],DiscreteStatsTable[[#This Row],[BatchMeansHalfWidth]])</f>
        <v>15.840494746788753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4</v>
      </c>
      <c r="D36" t="s">
        <v>77</v>
      </c>
      <c r="E36" t="s">
        <v>72</v>
      </c>
      <c r="F36" t="s">
        <v>73</v>
      </c>
      <c r="G36">
        <v>0.34189242242268703</v>
      </c>
      <c r="H36">
        <v>2E+20</v>
      </c>
      <c r="I36">
        <v>0.16390218168753801</v>
      </c>
      <c r="J36">
        <v>0.58829177361728902</v>
      </c>
      <c r="K36">
        <v>233</v>
      </c>
      <c r="L3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0.34347389333734257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0.33925837836962103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0.35093020776868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0.16153140563176299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0.58829177361728902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224</v>
      </c>
      <c r="W36">
        <f>IF((DiscreteStatsTable[[#This Row],[RepsRequested]]&gt;1),DiscreteStatsTable[[#This Row],[HalfWidth]],DiscreteStatsTable[[#This Row],[BatchMeansHalfWidth]])</f>
        <v>8.1459443005339367E-3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4</v>
      </c>
      <c r="D37" t="s">
        <v>77</v>
      </c>
      <c r="E37" t="s">
        <v>74</v>
      </c>
      <c r="F37" t="s">
        <v>73</v>
      </c>
      <c r="G37">
        <v>48.9488891883123</v>
      </c>
      <c r="H37">
        <v>2E+20</v>
      </c>
      <c r="I37">
        <v>1.1041395278103501</v>
      </c>
      <c r="J37">
        <v>89.8708923096532</v>
      </c>
      <c r="K37">
        <v>233</v>
      </c>
      <c r="L3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58.419903961647904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9.9742280787683679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15.871222648666704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48.9488891883123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69.095995496749396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1.1041395278103501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137.43873630026201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224</v>
      </c>
      <c r="W37">
        <f>IF((DiscreteStatsTable[[#This Row],[RepsRequested]]&gt;1),DiscreteStatsTable[[#This Row],[HalfWidth]],DiscreteStatsTable[[#This Row],[BatchMeansHalfWidth]])</f>
        <v>15.871222648666704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4</v>
      </c>
      <c r="D38" t="s">
        <v>77</v>
      </c>
      <c r="E38" t="s">
        <v>75</v>
      </c>
      <c r="F38" t="s">
        <v>73</v>
      </c>
      <c r="G38">
        <v>0.34189242242268703</v>
      </c>
      <c r="H38">
        <v>2E+20</v>
      </c>
      <c r="I38">
        <v>0.16390218168753801</v>
      </c>
      <c r="J38">
        <v>0.58829177361728902</v>
      </c>
      <c r="K38">
        <v>233</v>
      </c>
      <c r="L3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0.34347389333734257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5.1192972443930953E-3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8.1459443005339367E-3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0.33925837836962103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0.35093020776868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0.16153140563176299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0.58829177361728902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224</v>
      </c>
      <c r="W38">
        <f>IF((DiscreteStatsTable[[#This Row],[RepsRequested]]&gt;1),DiscreteStatsTable[[#This Row],[HalfWidth]],DiscreteStatsTable[[#This Row],[BatchMeansHalfWidth]])</f>
        <v>8.1459443005339367E-3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4</v>
      </c>
      <c r="D39" t="s">
        <v>77</v>
      </c>
      <c r="E39" t="s">
        <v>76</v>
      </c>
      <c r="F39" t="s">
        <v>73</v>
      </c>
      <c r="G39">
        <v>1.7094621121134299</v>
      </c>
      <c r="H39">
        <v>2E+20</v>
      </c>
      <c r="I39">
        <v>0.81951090843769203</v>
      </c>
      <c r="J39">
        <v>2.94145886808644</v>
      </c>
      <c r="K39">
        <v>233</v>
      </c>
      <c r="L3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1.7173694666867099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2.5596486221967425E-2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4.0729721502672782E-2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1.6962918918481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1.7546510388434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0.80765702815881502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2.94145886808644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224</v>
      </c>
      <c r="W39">
        <f>IF((DiscreteStatsTable[[#This Row],[RepsRequested]]&gt;1),DiscreteStatsTable[[#This Row],[HalfWidth]],DiscreteStatsTable[[#This Row],[BatchMeansHalfWidth]])</f>
        <v>4.0729721502672782E-2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4</v>
      </c>
      <c r="D40" t="s">
        <v>77</v>
      </c>
      <c r="E40" t="s">
        <v>78</v>
      </c>
      <c r="F40" t="s">
        <v>73</v>
      </c>
      <c r="G40">
        <v>0</v>
      </c>
      <c r="H40">
        <v>2E+20</v>
      </c>
      <c r="I40">
        <v>0</v>
      </c>
      <c r="J40">
        <v>0</v>
      </c>
      <c r="K40">
        <v>233</v>
      </c>
      <c r="L4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224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4</v>
      </c>
      <c r="D41" t="s">
        <v>77</v>
      </c>
      <c r="E41" t="s">
        <v>79</v>
      </c>
      <c r="F41" t="s">
        <v>73</v>
      </c>
      <c r="G41">
        <v>47.239427076198901</v>
      </c>
      <c r="H41">
        <v>2E+20</v>
      </c>
      <c r="I41">
        <v>0</v>
      </c>
      <c r="J41">
        <v>87.743951882910807</v>
      </c>
      <c r="K41">
        <v>233</v>
      </c>
      <c r="L4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56.702534494961206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9.9549172097510752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15.840494746788753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47.239427076198901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67.341344457906004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134.93902171208401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224</v>
      </c>
      <c r="W41">
        <f>IF((DiscreteStatsTable[[#This Row],[RepsRequested]]&gt;1),DiscreteStatsTable[[#This Row],[HalfWidth]],DiscreteStatsTable[[#This Row],[BatchMeansHalfWidth]])</f>
        <v>15.840494746788753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1</v>
      </c>
      <c r="D42" t="s">
        <v>80</v>
      </c>
      <c r="E42" t="s">
        <v>81</v>
      </c>
      <c r="F42" t="s">
        <v>82</v>
      </c>
      <c r="G42">
        <v>0</v>
      </c>
      <c r="H42">
        <v>2E+20</v>
      </c>
      <c r="I42">
        <v>0</v>
      </c>
      <c r="J42">
        <v>0</v>
      </c>
      <c r="K42">
        <v>232</v>
      </c>
      <c r="L4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225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1</v>
      </c>
      <c r="D43" t="s">
        <v>80</v>
      </c>
      <c r="E43" t="s">
        <v>83</v>
      </c>
      <c r="F43" t="s">
        <v>82</v>
      </c>
      <c r="G43">
        <v>62.965789420999897</v>
      </c>
      <c r="H43">
        <v>2E+20</v>
      </c>
      <c r="I43">
        <v>0</v>
      </c>
      <c r="J43">
        <v>124.436906947956</v>
      </c>
      <c r="K43">
        <v>232</v>
      </c>
      <c r="L4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56.896205939992733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9.7395480238650887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15.497794311841345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47.574043671421599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67.341344457906004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134.93902171208401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225</v>
      </c>
      <c r="W43">
        <f>IF((DiscreteStatsTable[[#This Row],[RepsRequested]]&gt;1),DiscreteStatsTable[[#This Row],[HalfWidth]],DiscreteStatsTable[[#This Row],[BatchMeansHalfWidth]])</f>
        <v>15.497794311841345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2</v>
      </c>
      <c r="D44" t="s">
        <v>80</v>
      </c>
      <c r="E44" t="s">
        <v>81</v>
      </c>
      <c r="F44" t="s">
        <v>82</v>
      </c>
      <c r="G44">
        <v>0</v>
      </c>
      <c r="H44">
        <v>2E+20</v>
      </c>
      <c r="I44">
        <v>0</v>
      </c>
      <c r="J44">
        <v>0</v>
      </c>
      <c r="K44">
        <v>217</v>
      </c>
      <c r="L4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225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2</v>
      </c>
      <c r="D45" t="s">
        <v>80</v>
      </c>
      <c r="E45" t="s">
        <v>83</v>
      </c>
      <c r="F45" t="s">
        <v>82</v>
      </c>
      <c r="G45">
        <v>67.341344457906004</v>
      </c>
      <c r="H45">
        <v>2E+20</v>
      </c>
      <c r="I45">
        <v>0</v>
      </c>
      <c r="J45">
        <v>134.93902171208401</v>
      </c>
      <c r="K45">
        <v>217</v>
      </c>
      <c r="L4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56.896205939992733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9.7395480238650887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15.497794311841345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47.574043671421599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67.341344457906004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134.93902171208401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225</v>
      </c>
      <c r="W45">
        <f>IF((DiscreteStatsTable[[#This Row],[RepsRequested]]&gt;1),DiscreteStatsTable[[#This Row],[HalfWidth]],DiscreteStatsTable[[#This Row],[BatchMeansHalfWidth]])</f>
        <v>15.497794311841345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3</v>
      </c>
      <c r="D46" t="s">
        <v>80</v>
      </c>
      <c r="E46" t="s">
        <v>81</v>
      </c>
      <c r="F46" t="s">
        <v>82</v>
      </c>
      <c r="G46">
        <v>0</v>
      </c>
      <c r="H46">
        <v>2E+20</v>
      </c>
      <c r="I46">
        <v>0</v>
      </c>
      <c r="J46">
        <v>0</v>
      </c>
      <c r="K46">
        <v>216</v>
      </c>
      <c r="L4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225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3</v>
      </c>
      <c r="D47" t="s">
        <v>80</v>
      </c>
      <c r="E47" t="s">
        <v>83</v>
      </c>
      <c r="F47" t="s">
        <v>82</v>
      </c>
      <c r="G47">
        <v>49.703646209643402</v>
      </c>
      <c r="H47">
        <v>2E+20</v>
      </c>
      <c r="I47">
        <v>0</v>
      </c>
      <c r="J47">
        <v>96.852718060919699</v>
      </c>
      <c r="K47">
        <v>216</v>
      </c>
      <c r="L4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56.896205939992733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9.7395480238650887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15.497794311841345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47.574043671421599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67.341344457906004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134.93902171208401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225</v>
      </c>
      <c r="W47">
        <f>IF((DiscreteStatsTable[[#This Row],[RepsRequested]]&gt;1),DiscreteStatsTable[[#This Row],[HalfWidth]],DiscreteStatsTable[[#This Row],[BatchMeansHalfWidth]])</f>
        <v>15.497794311841345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4</v>
      </c>
      <c r="D48" t="s">
        <v>80</v>
      </c>
      <c r="E48" t="s">
        <v>81</v>
      </c>
      <c r="F48" t="s">
        <v>82</v>
      </c>
      <c r="G48">
        <v>0</v>
      </c>
      <c r="H48">
        <v>2E+20</v>
      </c>
      <c r="I48">
        <v>0</v>
      </c>
      <c r="J48">
        <v>0</v>
      </c>
      <c r="K48">
        <v>235</v>
      </c>
      <c r="L4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225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4</v>
      </c>
      <c r="D49" t="s">
        <v>80</v>
      </c>
      <c r="E49" t="s">
        <v>83</v>
      </c>
      <c r="F49" t="s">
        <v>82</v>
      </c>
      <c r="G49">
        <v>47.574043671421599</v>
      </c>
      <c r="H49">
        <v>2E+20</v>
      </c>
      <c r="I49">
        <v>0</v>
      </c>
      <c r="J49">
        <v>87.743951882910807</v>
      </c>
      <c r="K49">
        <v>235</v>
      </c>
      <c r="L4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56.896205939992733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9.7395480238650887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15.497794311841345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47.574043671421599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67.341344457906004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134.93902171208401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225</v>
      </c>
      <c r="W49">
        <f>IF((DiscreteStatsTable[[#This Row],[RepsRequested]]&gt;1),DiscreteStatsTable[[#This Row],[HalfWidth]],DiscreteStatsTable[[#This Row],[BatchMeansHalfWidth]])</f>
        <v>15.497794311841345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1</v>
      </c>
      <c r="D50" t="s">
        <v>84</v>
      </c>
      <c r="E50" t="s">
        <v>85</v>
      </c>
      <c r="F50" t="s">
        <v>86</v>
      </c>
      <c r="G50">
        <v>0</v>
      </c>
      <c r="H50">
        <v>2E+20</v>
      </c>
      <c r="I50">
        <v>0</v>
      </c>
      <c r="J50">
        <v>0</v>
      </c>
      <c r="K50">
        <v>173</v>
      </c>
      <c r="L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179.25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1</v>
      </c>
      <c r="D51" t="s">
        <v>84</v>
      </c>
      <c r="E51" t="s">
        <v>87</v>
      </c>
      <c r="F51" t="s">
        <v>86</v>
      </c>
      <c r="G51">
        <v>0</v>
      </c>
      <c r="H51">
        <v>2E+20</v>
      </c>
      <c r="I51">
        <v>0</v>
      </c>
      <c r="J51">
        <v>0</v>
      </c>
      <c r="K51">
        <v>173</v>
      </c>
      <c r="L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179.25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1</v>
      </c>
      <c r="D52" t="s">
        <v>84</v>
      </c>
      <c r="E52" t="s">
        <v>88</v>
      </c>
      <c r="F52" t="s">
        <v>86</v>
      </c>
      <c r="G52">
        <v>0</v>
      </c>
      <c r="H52">
        <v>2E+20</v>
      </c>
      <c r="I52">
        <v>0</v>
      </c>
      <c r="J52">
        <v>0</v>
      </c>
      <c r="K52">
        <v>173</v>
      </c>
      <c r="L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179.25</v>
      </c>
      <c r="W52">
        <f>IF((DiscreteStatsTable[[#This Row],[RepsRequested]]&gt;1),DiscreteStatsTable[[#This Row],[HalfWidth]],DiscreteStatsTable[[#This Row],[BatchMeansHalfWidth]])</f>
        <v>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1</v>
      </c>
      <c r="D53" t="s">
        <v>84</v>
      </c>
      <c r="E53" t="s">
        <v>89</v>
      </c>
      <c r="F53" t="s">
        <v>86</v>
      </c>
      <c r="G53">
        <v>0</v>
      </c>
      <c r="H53">
        <v>2E+20</v>
      </c>
      <c r="I53">
        <v>0</v>
      </c>
      <c r="J53">
        <v>0</v>
      </c>
      <c r="K53">
        <v>173</v>
      </c>
      <c r="L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179.25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1</v>
      </c>
      <c r="D54" t="s">
        <v>84</v>
      </c>
      <c r="E54" t="s">
        <v>90</v>
      </c>
      <c r="F54" t="s">
        <v>86</v>
      </c>
      <c r="G54">
        <v>1.0846848610775599</v>
      </c>
      <c r="H54">
        <v>2E+20</v>
      </c>
      <c r="I54">
        <v>0.220314780433955</v>
      </c>
      <c r="J54">
        <v>3.0232879995713602</v>
      </c>
      <c r="K54">
        <v>173</v>
      </c>
      <c r="L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1.0855975832436524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1.0586789981929301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1.1020864207533301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0.201887427096062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5.1407162729915701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179.25</v>
      </c>
      <c r="W54">
        <f>IF((DiscreteStatsTable[[#This Row],[RepsRequested]]&gt;1),DiscreteStatsTable[[#This Row],[HalfWidth]],DiscreteStatsTable[[#This Row],[BatchMeansHalfWidth]])</f>
        <v>3.0827276434937004E-2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1</v>
      </c>
      <c r="D55" t="s">
        <v>84</v>
      </c>
      <c r="E55" t="s">
        <v>91</v>
      </c>
      <c r="F55" t="s">
        <v>86</v>
      </c>
      <c r="G55">
        <v>111.340145729152</v>
      </c>
      <c r="H55">
        <v>2E+20</v>
      </c>
      <c r="I55">
        <v>1.6609824237975099</v>
      </c>
      <c r="J55">
        <v>246.260250697495</v>
      </c>
      <c r="K55">
        <v>173</v>
      </c>
      <c r="L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109.32912949002406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22.221491713494196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35.359352100751067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87.617139838625505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139.32738560479001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1.6609824237975099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263.75396354921901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179.25</v>
      </c>
      <c r="W55">
        <f>IF((DiscreteStatsTable[[#This Row],[RepsRequested]]&gt;1),DiscreteStatsTable[[#This Row],[HalfWidth]],DiscreteStatsTable[[#This Row],[BatchMeansHalfWidth]])</f>
        <v>35.359352100751067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</v>
      </c>
      <c r="D56" t="s">
        <v>84</v>
      </c>
      <c r="E56" t="s">
        <v>92</v>
      </c>
      <c r="F56" t="s">
        <v>86</v>
      </c>
      <c r="G56">
        <v>0</v>
      </c>
      <c r="H56">
        <v>2E+20</v>
      </c>
      <c r="I56">
        <v>0</v>
      </c>
      <c r="J56">
        <v>0</v>
      </c>
      <c r="K56">
        <v>173</v>
      </c>
      <c r="L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179.25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</v>
      </c>
      <c r="D57" t="s">
        <v>84</v>
      </c>
      <c r="E57" t="s">
        <v>93</v>
      </c>
      <c r="F57" t="s">
        <v>86</v>
      </c>
      <c r="G57">
        <v>0</v>
      </c>
      <c r="H57">
        <v>2E+20</v>
      </c>
      <c r="I57">
        <v>0</v>
      </c>
      <c r="J57">
        <v>0</v>
      </c>
      <c r="K57">
        <v>173</v>
      </c>
      <c r="L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179.25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</v>
      </c>
      <c r="D58" t="s">
        <v>84</v>
      </c>
      <c r="E58" t="s">
        <v>94</v>
      </c>
      <c r="F58" t="s">
        <v>86</v>
      </c>
      <c r="G58">
        <v>1.0846848610775599</v>
      </c>
      <c r="H58">
        <v>2E+20</v>
      </c>
      <c r="I58">
        <v>0.220314780433955</v>
      </c>
      <c r="J58">
        <v>3.0232879995713602</v>
      </c>
      <c r="K58">
        <v>173</v>
      </c>
      <c r="L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1.0855975832436524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1.0586789981929301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1.1020864207533301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0.201887427096062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5.1407162729915701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179.25</v>
      </c>
      <c r="W58">
        <f>IF((DiscreteStatsTable[[#This Row],[RepsRequested]]&gt;1),DiscreteStatsTable[[#This Row],[HalfWidth]],DiscreteStatsTable[[#This Row],[BatchMeansHalfWidth]])</f>
        <v>3.0827276434937004E-2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</v>
      </c>
      <c r="D59" t="s">
        <v>84</v>
      </c>
      <c r="E59" t="s">
        <v>95</v>
      </c>
      <c r="F59" t="s">
        <v>86</v>
      </c>
      <c r="G59">
        <v>5.9274088513171499</v>
      </c>
      <c r="H59">
        <v>2E+20</v>
      </c>
      <c r="I59">
        <v>1.1015739021697799</v>
      </c>
      <c r="J59">
        <v>15.1164399978568</v>
      </c>
      <c r="K59">
        <v>173</v>
      </c>
      <c r="L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5.9199498486403952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5.6917182194290962E-2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9.0567938090690456E-2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5.8524378832429198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5.9906089248495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1.00943713548031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25.703581364957799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179.25</v>
      </c>
      <c r="W59">
        <f>IF((DiscreteStatsTable[[#This Row],[RepsRequested]]&gt;1),DiscreteStatsTable[[#This Row],[HalfWidth]],DiscreteStatsTable[[#This Row],[BatchMeansHalfWidth]])</f>
        <v>9.0567938090690456E-2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</v>
      </c>
      <c r="D60" t="s">
        <v>84</v>
      </c>
      <c r="E60" t="s">
        <v>96</v>
      </c>
      <c r="F60" t="s">
        <v>86</v>
      </c>
      <c r="G60">
        <v>0</v>
      </c>
      <c r="H60">
        <v>2E+20</v>
      </c>
      <c r="I60">
        <v>0</v>
      </c>
      <c r="J60">
        <v>0</v>
      </c>
      <c r="K60">
        <v>173</v>
      </c>
      <c r="L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179.25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</v>
      </c>
      <c r="D61" t="s">
        <v>84</v>
      </c>
      <c r="E61" t="s">
        <v>97</v>
      </c>
      <c r="F61" t="s">
        <v>86</v>
      </c>
      <c r="G61">
        <v>105.412736877835</v>
      </c>
      <c r="H61">
        <v>2E+20</v>
      </c>
      <c r="I61">
        <v>0</v>
      </c>
      <c r="J61">
        <v>233.23822686316601</v>
      </c>
      <c r="K61">
        <v>173</v>
      </c>
      <c r="L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103.40917964138382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22.165847871959986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35.2708103317999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81.764701955382606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133.33677667994101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257.28997277017498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179.25</v>
      </c>
      <c r="W61">
        <f>IF((DiscreteStatsTable[[#This Row],[RepsRequested]]&gt;1),DiscreteStatsTable[[#This Row],[HalfWidth]],DiscreteStatsTable[[#This Row],[BatchMeansHalfWidth]])</f>
        <v>35.2708103317999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2</v>
      </c>
      <c r="D62" t="s">
        <v>84</v>
      </c>
      <c r="E62" t="s">
        <v>85</v>
      </c>
      <c r="F62" t="s">
        <v>86</v>
      </c>
      <c r="G62">
        <v>0</v>
      </c>
      <c r="H62">
        <v>2E+20</v>
      </c>
      <c r="I62">
        <v>0</v>
      </c>
      <c r="J62">
        <v>0</v>
      </c>
      <c r="K62">
        <v>182</v>
      </c>
      <c r="L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179.25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2</v>
      </c>
      <c r="D63" t="s">
        <v>84</v>
      </c>
      <c r="E63" t="s">
        <v>87</v>
      </c>
      <c r="F63" t="s">
        <v>86</v>
      </c>
      <c r="G63">
        <v>0</v>
      </c>
      <c r="H63">
        <v>2E+20</v>
      </c>
      <c r="I63">
        <v>0</v>
      </c>
      <c r="J63">
        <v>0</v>
      </c>
      <c r="K63">
        <v>182</v>
      </c>
      <c r="L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179.25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2</v>
      </c>
      <c r="D64" t="s">
        <v>84</v>
      </c>
      <c r="E64" t="s">
        <v>88</v>
      </c>
      <c r="F64" t="s">
        <v>86</v>
      </c>
      <c r="G64">
        <v>0</v>
      </c>
      <c r="H64">
        <v>2E+20</v>
      </c>
      <c r="I64">
        <v>0</v>
      </c>
      <c r="J64">
        <v>0</v>
      </c>
      <c r="K64">
        <v>182</v>
      </c>
      <c r="L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179.25</v>
      </c>
      <c r="W64" s="5">
        <f>IF((DiscreteStatsTable[[#This Row],[RepsRequested]]&gt;1),DiscreteStatsTable[[#This Row],[HalfWidth]],DiscreteStatsTable[[#This Row],[BatchMeansHalfWidth]])</f>
        <v>0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2</v>
      </c>
      <c r="D65" t="s">
        <v>84</v>
      </c>
      <c r="E65" t="s">
        <v>89</v>
      </c>
      <c r="F65" t="s">
        <v>86</v>
      </c>
      <c r="G65">
        <v>0</v>
      </c>
      <c r="H65">
        <v>2E+20</v>
      </c>
      <c r="I65">
        <v>0</v>
      </c>
      <c r="J65">
        <v>0</v>
      </c>
      <c r="K65">
        <v>182</v>
      </c>
      <c r="L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179.25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2</v>
      </c>
      <c r="D66" t="s">
        <v>84</v>
      </c>
      <c r="E66" t="s">
        <v>90</v>
      </c>
      <c r="F66" t="s">
        <v>86</v>
      </c>
      <c r="G66">
        <v>1.09694005295079</v>
      </c>
      <c r="H66">
        <v>2E+20</v>
      </c>
      <c r="I66">
        <v>0.26177601592718203</v>
      </c>
      <c r="J66">
        <v>4.66027854408485</v>
      </c>
      <c r="K66">
        <v>182</v>
      </c>
      <c r="L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1.0855975832436524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1.0586789981929301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1.1020864207533301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0.201887427096062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5.1407162729915701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179.25</v>
      </c>
      <c r="W66" s="5">
        <f>IF((DiscreteStatsTable[[#This Row],[RepsRequested]]&gt;1),DiscreteStatsTable[[#This Row],[HalfWidth]],DiscreteStatsTable[[#This Row],[BatchMeansHalfWidth]])</f>
        <v>3.0827276434937004E-2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2</v>
      </c>
      <c r="D67" t="s">
        <v>84</v>
      </c>
      <c r="E67" t="s">
        <v>91</v>
      </c>
      <c r="F67" t="s">
        <v>86</v>
      </c>
      <c r="G67">
        <v>139.32738560479001</v>
      </c>
      <c r="H67">
        <v>2E+20</v>
      </c>
      <c r="I67">
        <v>5.7556611251694596</v>
      </c>
      <c r="J67">
        <v>263.75396354921901</v>
      </c>
      <c r="K67">
        <v>182</v>
      </c>
      <c r="L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109.32912949002406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22.221491713494196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35.359352100751067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87.617139838625505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139.32738560479001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1.6609824237975099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263.75396354921901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179.25</v>
      </c>
      <c r="W67" s="5">
        <f>IF((DiscreteStatsTable[[#This Row],[RepsRequested]]&gt;1),DiscreteStatsTable[[#This Row],[HalfWidth]],DiscreteStatsTable[[#This Row],[BatchMeansHalfWidth]])</f>
        <v>35.359352100751067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2</v>
      </c>
      <c r="D68" t="s">
        <v>84</v>
      </c>
      <c r="E68" t="s">
        <v>92</v>
      </c>
      <c r="F68" t="s">
        <v>86</v>
      </c>
      <c r="G68">
        <v>0</v>
      </c>
      <c r="H68">
        <v>2E+20</v>
      </c>
      <c r="I68">
        <v>0</v>
      </c>
      <c r="J68">
        <v>0</v>
      </c>
      <c r="K68">
        <v>182</v>
      </c>
      <c r="L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179.25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2</v>
      </c>
      <c r="D69" t="s">
        <v>84</v>
      </c>
      <c r="E69" t="s">
        <v>93</v>
      </c>
      <c r="F69" t="s">
        <v>86</v>
      </c>
      <c r="G69">
        <v>0</v>
      </c>
      <c r="H69">
        <v>2E+20</v>
      </c>
      <c r="I69">
        <v>0</v>
      </c>
      <c r="J69">
        <v>0</v>
      </c>
      <c r="K69">
        <v>182</v>
      </c>
      <c r="L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179.25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2</v>
      </c>
      <c r="D70" t="s">
        <v>84</v>
      </c>
      <c r="E70" t="s">
        <v>94</v>
      </c>
      <c r="F70" t="s">
        <v>86</v>
      </c>
      <c r="G70">
        <v>1.09694005295079</v>
      </c>
      <c r="H70">
        <v>2E+20</v>
      </c>
      <c r="I70">
        <v>0.26177601592718203</v>
      </c>
      <c r="J70">
        <v>4.66027854408485</v>
      </c>
      <c r="K70">
        <v>182</v>
      </c>
      <c r="L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1.0855975832436524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1.0586789981929301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1.1020864207533301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0.201887427096062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5.1407162729915701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179.25</v>
      </c>
      <c r="W70" s="5">
        <f>IF((DiscreteStatsTable[[#This Row],[RepsRequested]]&gt;1),DiscreteStatsTable[[#This Row],[HalfWidth]],DiscreteStatsTable[[#This Row],[BatchMeansHalfWidth]])</f>
        <v>3.0827276434937004E-2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2</v>
      </c>
      <c r="D71" t="s">
        <v>84</v>
      </c>
      <c r="E71" t="s">
        <v>95</v>
      </c>
      <c r="F71" t="s">
        <v>86</v>
      </c>
      <c r="G71">
        <v>5.9906089248495</v>
      </c>
      <c r="H71">
        <v>2E+20</v>
      </c>
      <c r="I71">
        <v>1.3088800796359099</v>
      </c>
      <c r="J71">
        <v>23.3013927204243</v>
      </c>
      <c r="K71">
        <v>182</v>
      </c>
      <c r="L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5.9199498486403952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5.6917182194290962E-2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9.0567938090690456E-2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5.8524378832429198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5.9906089248495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1.00943713548031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25.703581364957799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179.25</v>
      </c>
      <c r="W71" s="5">
        <f>IF((DiscreteStatsTable[[#This Row],[RepsRequested]]&gt;1),DiscreteStatsTable[[#This Row],[HalfWidth]],DiscreteStatsTable[[#This Row],[BatchMeansHalfWidth]])</f>
        <v>9.0567938090690456E-2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2</v>
      </c>
      <c r="D72" t="s">
        <v>84</v>
      </c>
      <c r="E72" t="s">
        <v>96</v>
      </c>
      <c r="F72" t="s">
        <v>86</v>
      </c>
      <c r="G72">
        <v>0</v>
      </c>
      <c r="H72">
        <v>2E+20</v>
      </c>
      <c r="I72">
        <v>0</v>
      </c>
      <c r="J72">
        <v>0</v>
      </c>
      <c r="K72">
        <v>182</v>
      </c>
      <c r="L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179.25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2</v>
      </c>
      <c r="D73" t="s">
        <v>84</v>
      </c>
      <c r="E73" t="s">
        <v>97</v>
      </c>
      <c r="F73" t="s">
        <v>86</v>
      </c>
      <c r="G73">
        <v>133.33677667994101</v>
      </c>
      <c r="H73">
        <v>2E+20</v>
      </c>
      <c r="I73">
        <v>0</v>
      </c>
      <c r="J73">
        <v>257.28997277017498</v>
      </c>
      <c r="K73">
        <v>182</v>
      </c>
      <c r="L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103.40917964138382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22.165847871959986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35.2708103317999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81.764701955382606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133.33677667994101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257.28997277017498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179.25</v>
      </c>
      <c r="W73" s="5">
        <f>IF((DiscreteStatsTable[[#This Row],[RepsRequested]]&gt;1),DiscreteStatsTable[[#This Row],[HalfWidth]],DiscreteStatsTable[[#This Row],[BatchMeansHalfWidth]])</f>
        <v>35.2708103317999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3</v>
      </c>
      <c r="D74" t="s">
        <v>84</v>
      </c>
      <c r="E74" t="s">
        <v>85</v>
      </c>
      <c r="F74" t="s">
        <v>86</v>
      </c>
      <c r="G74">
        <v>0</v>
      </c>
      <c r="H74">
        <v>2E+20</v>
      </c>
      <c r="I74">
        <v>0</v>
      </c>
      <c r="J74">
        <v>0</v>
      </c>
      <c r="K74">
        <v>185</v>
      </c>
      <c r="L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179.25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3</v>
      </c>
      <c r="D75" t="s">
        <v>84</v>
      </c>
      <c r="E75" t="s">
        <v>87</v>
      </c>
      <c r="F75" t="s">
        <v>86</v>
      </c>
      <c r="G75">
        <v>0</v>
      </c>
      <c r="H75">
        <v>2E+20</v>
      </c>
      <c r="I75">
        <v>0</v>
      </c>
      <c r="J75">
        <v>0</v>
      </c>
      <c r="K75">
        <v>185</v>
      </c>
      <c r="L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179.25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3</v>
      </c>
      <c r="D76" t="s">
        <v>84</v>
      </c>
      <c r="E76" t="s">
        <v>88</v>
      </c>
      <c r="F76" t="s">
        <v>86</v>
      </c>
      <c r="G76">
        <v>0</v>
      </c>
      <c r="H76">
        <v>2E+20</v>
      </c>
      <c r="I76">
        <v>0</v>
      </c>
      <c r="J76">
        <v>0</v>
      </c>
      <c r="K76">
        <v>185</v>
      </c>
      <c r="L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179.25</v>
      </c>
      <c r="W76" s="5">
        <f>IF((DiscreteStatsTable[[#This Row],[RepsRequested]]&gt;1),DiscreteStatsTable[[#This Row],[HalfWidth]],DiscreteStatsTable[[#This Row],[BatchMeansHalfWidth]])</f>
        <v>0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3</v>
      </c>
      <c r="D77" t="s">
        <v>84</v>
      </c>
      <c r="E77" t="s">
        <v>89</v>
      </c>
      <c r="F77" t="s">
        <v>86</v>
      </c>
      <c r="G77">
        <v>0</v>
      </c>
      <c r="H77">
        <v>2E+20</v>
      </c>
      <c r="I77">
        <v>0</v>
      </c>
      <c r="J77">
        <v>0</v>
      </c>
      <c r="K77">
        <v>185</v>
      </c>
      <c r="L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179.25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3</v>
      </c>
      <c r="D78" t="s">
        <v>84</v>
      </c>
      <c r="E78" t="s">
        <v>90</v>
      </c>
      <c r="F78" t="s">
        <v>86</v>
      </c>
      <c r="G78">
        <v>1.1020864207533301</v>
      </c>
      <c r="H78">
        <v>2E+20</v>
      </c>
      <c r="I78">
        <v>0.26449392730808102</v>
      </c>
      <c r="J78">
        <v>5.1407162729915701</v>
      </c>
      <c r="K78">
        <v>185</v>
      </c>
      <c r="L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1.0855975832436524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1.0586789981929301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1.1020864207533301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0.201887427096062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5.1407162729915701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179.25</v>
      </c>
      <c r="W78" s="5">
        <f>IF((DiscreteStatsTable[[#This Row],[RepsRequested]]&gt;1),DiscreteStatsTable[[#This Row],[HalfWidth]],DiscreteStatsTable[[#This Row],[BatchMeansHalfWidth]])</f>
        <v>3.0827276434937004E-2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3</v>
      </c>
      <c r="D79" t="s">
        <v>84</v>
      </c>
      <c r="E79" t="s">
        <v>91</v>
      </c>
      <c r="F79" t="s">
        <v>86</v>
      </c>
      <c r="G79">
        <v>99.031846787528707</v>
      </c>
      <c r="H79">
        <v>2E+20</v>
      </c>
      <c r="I79">
        <v>3.3416969860268</v>
      </c>
      <c r="J79">
        <v>174.66818379482001</v>
      </c>
      <c r="K79">
        <v>185</v>
      </c>
      <c r="L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109.32912949002406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22.221491713494196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35.359352100751067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87.617139838625505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139.32738560479001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1.6609824237975099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263.75396354921901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179.25</v>
      </c>
      <c r="W79" s="5">
        <f>IF((DiscreteStatsTable[[#This Row],[RepsRequested]]&gt;1),DiscreteStatsTable[[#This Row],[HalfWidth]],DiscreteStatsTable[[#This Row],[BatchMeansHalfWidth]])</f>
        <v>35.359352100751067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3</v>
      </c>
      <c r="D80" t="s">
        <v>84</v>
      </c>
      <c r="E80" t="s">
        <v>92</v>
      </c>
      <c r="F80" t="s">
        <v>86</v>
      </c>
      <c r="G80">
        <v>0</v>
      </c>
      <c r="H80">
        <v>2E+20</v>
      </c>
      <c r="I80">
        <v>0</v>
      </c>
      <c r="J80">
        <v>0</v>
      </c>
      <c r="K80">
        <v>185</v>
      </c>
      <c r="L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179.25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3</v>
      </c>
      <c r="D81" t="s">
        <v>84</v>
      </c>
      <c r="E81" t="s">
        <v>93</v>
      </c>
      <c r="F81" t="s">
        <v>86</v>
      </c>
      <c r="G81">
        <v>0</v>
      </c>
      <c r="H81">
        <v>2E+20</v>
      </c>
      <c r="I81">
        <v>0</v>
      </c>
      <c r="J81">
        <v>0</v>
      </c>
      <c r="K81">
        <v>185</v>
      </c>
      <c r="L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179.25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3</v>
      </c>
      <c r="D82" t="s">
        <v>84</v>
      </c>
      <c r="E82" t="s">
        <v>94</v>
      </c>
      <c r="F82" t="s">
        <v>86</v>
      </c>
      <c r="G82">
        <v>1.1020864207533301</v>
      </c>
      <c r="H82">
        <v>2E+20</v>
      </c>
      <c r="I82">
        <v>0.26449392730808102</v>
      </c>
      <c r="J82">
        <v>5.1407162729915701</v>
      </c>
      <c r="K82">
        <v>185</v>
      </c>
      <c r="L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1.0855975832436524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1.0586789981929301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1.1020864207533301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0.201887427096062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5.1407162729915701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179.25</v>
      </c>
      <c r="W82" s="5">
        <f>IF((DiscreteStatsTable[[#This Row],[RepsRequested]]&gt;1),DiscreteStatsTable[[#This Row],[HalfWidth]],DiscreteStatsTable[[#This Row],[BatchMeansHalfWidth]])</f>
        <v>3.0827276434937004E-2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3</v>
      </c>
      <c r="D83" t="s">
        <v>84</v>
      </c>
      <c r="E83" t="s">
        <v>95</v>
      </c>
      <c r="F83" t="s">
        <v>86</v>
      </c>
      <c r="G83">
        <v>5.9093437351520102</v>
      </c>
      <c r="H83">
        <v>2E+20</v>
      </c>
      <c r="I83">
        <v>1.3224696365404001</v>
      </c>
      <c r="J83">
        <v>25.703581364957799</v>
      </c>
      <c r="K83">
        <v>185</v>
      </c>
      <c r="L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5.9199498486403952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5.6917182194290962E-2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9.0567938090690456E-2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5.8524378832429198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5.9906089248495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1.00943713548031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25.703581364957799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179.25</v>
      </c>
      <c r="W83" s="5">
        <f>IF((DiscreteStatsTable[[#This Row],[RepsRequested]]&gt;1),DiscreteStatsTable[[#This Row],[HalfWidth]],DiscreteStatsTable[[#This Row],[BatchMeansHalfWidth]])</f>
        <v>9.0567938090690456E-2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3</v>
      </c>
      <c r="D84" t="s">
        <v>84</v>
      </c>
      <c r="E84" t="s">
        <v>96</v>
      </c>
      <c r="F84" t="s">
        <v>86</v>
      </c>
      <c r="G84">
        <v>0</v>
      </c>
      <c r="H84">
        <v>2E+20</v>
      </c>
      <c r="I84">
        <v>0</v>
      </c>
      <c r="J84">
        <v>0</v>
      </c>
      <c r="K84">
        <v>185</v>
      </c>
      <c r="L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179.25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3</v>
      </c>
      <c r="D85" t="s">
        <v>84</v>
      </c>
      <c r="E85" t="s">
        <v>97</v>
      </c>
      <c r="F85" t="s">
        <v>86</v>
      </c>
      <c r="G85">
        <v>93.122503052376601</v>
      </c>
      <c r="H85">
        <v>2E+20</v>
      </c>
      <c r="I85">
        <v>1.62208188466924</v>
      </c>
      <c r="J85">
        <v>169.69047959579501</v>
      </c>
      <c r="K85">
        <v>185</v>
      </c>
      <c r="L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103.40917964138382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22.165847871959986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35.2708103317999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81.764701955382606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133.33677667994101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257.28997277017498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179.25</v>
      </c>
      <c r="W85" s="5">
        <f>IF((DiscreteStatsTable[[#This Row],[RepsRequested]]&gt;1),DiscreteStatsTable[[#This Row],[HalfWidth]],DiscreteStatsTable[[#This Row],[BatchMeansHalfWidth]])</f>
        <v>35.2708103317999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4</v>
      </c>
      <c r="D86" t="s">
        <v>84</v>
      </c>
      <c r="E86" t="s">
        <v>85</v>
      </c>
      <c r="F86" t="s">
        <v>86</v>
      </c>
      <c r="G86">
        <v>0</v>
      </c>
      <c r="H86">
        <v>2E+20</v>
      </c>
      <c r="I86">
        <v>0</v>
      </c>
      <c r="J86">
        <v>0</v>
      </c>
      <c r="K86">
        <v>177</v>
      </c>
      <c r="L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179.25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4</v>
      </c>
      <c r="D87" t="s">
        <v>84</v>
      </c>
      <c r="E87" t="s">
        <v>87</v>
      </c>
      <c r="F87" t="s">
        <v>86</v>
      </c>
      <c r="G87">
        <v>0</v>
      </c>
      <c r="H87">
        <v>2E+20</v>
      </c>
      <c r="I87">
        <v>0</v>
      </c>
      <c r="J87">
        <v>0</v>
      </c>
      <c r="K87">
        <v>177</v>
      </c>
      <c r="L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179.25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4</v>
      </c>
      <c r="D88" t="s">
        <v>84</v>
      </c>
      <c r="E88" t="s">
        <v>88</v>
      </c>
      <c r="F88" t="s">
        <v>86</v>
      </c>
      <c r="G88">
        <v>0</v>
      </c>
      <c r="H88">
        <v>2E+20</v>
      </c>
      <c r="I88">
        <v>0</v>
      </c>
      <c r="J88">
        <v>0</v>
      </c>
      <c r="K88">
        <v>177</v>
      </c>
      <c r="L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179.25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4</v>
      </c>
      <c r="D89" t="s">
        <v>84</v>
      </c>
      <c r="E89" t="s">
        <v>89</v>
      </c>
      <c r="F89" t="s">
        <v>86</v>
      </c>
      <c r="G89">
        <v>0</v>
      </c>
      <c r="H89">
        <v>2E+20</v>
      </c>
      <c r="I89">
        <v>0</v>
      </c>
      <c r="J89">
        <v>0</v>
      </c>
      <c r="K89">
        <v>177</v>
      </c>
      <c r="L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179.25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4</v>
      </c>
      <c r="D90" t="s">
        <v>84</v>
      </c>
      <c r="E90" t="s">
        <v>90</v>
      </c>
      <c r="F90" t="s">
        <v>86</v>
      </c>
      <c r="G90">
        <v>1.0586789981929301</v>
      </c>
      <c r="H90">
        <v>2E+20</v>
      </c>
      <c r="I90">
        <v>0.201887427096062</v>
      </c>
      <c r="J90">
        <v>4.4143800229838099</v>
      </c>
      <c r="K90">
        <v>177</v>
      </c>
      <c r="L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1.0855975832436524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1.0586789981929301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1.1020864207533301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0.201887427096062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5.1407162729915701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179.25</v>
      </c>
      <c r="W90" s="5">
        <f>IF((DiscreteStatsTable[[#This Row],[RepsRequested]]&gt;1),DiscreteStatsTable[[#This Row],[HalfWidth]],DiscreteStatsTable[[#This Row],[BatchMeansHalfWidth]])</f>
        <v>3.0827276434937004E-2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4</v>
      </c>
      <c r="D91" t="s">
        <v>84</v>
      </c>
      <c r="E91" t="s">
        <v>91</v>
      </c>
      <c r="F91" t="s">
        <v>86</v>
      </c>
      <c r="G91">
        <v>87.617139838625505</v>
      </c>
      <c r="H91">
        <v>2E+20</v>
      </c>
      <c r="I91">
        <v>5.3958262375523702</v>
      </c>
      <c r="J91">
        <v>219.173020345753</v>
      </c>
      <c r="K91">
        <v>177</v>
      </c>
      <c r="L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109.32912949002406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22.221491713494196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35.359352100751067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87.617139838625505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139.32738560479001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1.6609824237975099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263.75396354921901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179.25</v>
      </c>
      <c r="W91" s="5">
        <f>IF((DiscreteStatsTable[[#This Row],[RepsRequested]]&gt;1),DiscreteStatsTable[[#This Row],[HalfWidth]],DiscreteStatsTable[[#This Row],[BatchMeansHalfWidth]])</f>
        <v>35.359352100751067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4</v>
      </c>
      <c r="D92" t="s">
        <v>84</v>
      </c>
      <c r="E92" t="s">
        <v>92</v>
      </c>
      <c r="F92" t="s">
        <v>86</v>
      </c>
      <c r="G92">
        <v>0</v>
      </c>
      <c r="H92">
        <v>2E+20</v>
      </c>
      <c r="I92">
        <v>0</v>
      </c>
      <c r="J92">
        <v>0</v>
      </c>
      <c r="K92">
        <v>177</v>
      </c>
      <c r="L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179.25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4</v>
      </c>
      <c r="D93" t="s">
        <v>84</v>
      </c>
      <c r="E93" t="s">
        <v>93</v>
      </c>
      <c r="F93" t="s">
        <v>86</v>
      </c>
      <c r="G93">
        <v>0</v>
      </c>
      <c r="H93">
        <v>2E+20</v>
      </c>
      <c r="I93">
        <v>0</v>
      </c>
      <c r="J93">
        <v>0</v>
      </c>
      <c r="K93">
        <v>177</v>
      </c>
      <c r="L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179.25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4</v>
      </c>
      <c r="D94" t="s">
        <v>84</v>
      </c>
      <c r="E94" t="s">
        <v>94</v>
      </c>
      <c r="F94" t="s">
        <v>86</v>
      </c>
      <c r="G94">
        <v>1.0586789981929301</v>
      </c>
      <c r="H94">
        <v>2E+20</v>
      </c>
      <c r="I94">
        <v>0.201887427096062</v>
      </c>
      <c r="J94">
        <v>4.4143800229838099</v>
      </c>
      <c r="K94">
        <v>177</v>
      </c>
      <c r="L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1.0855975832436524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1.9373320695941058E-2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3.0827276434937004E-2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1.0586789981929301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1.1020864207533301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0.201887427096062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5.1407162729915701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179.25</v>
      </c>
      <c r="W94" s="5">
        <f>IF((DiscreteStatsTable[[#This Row],[RepsRequested]]&gt;1),DiscreteStatsTable[[#This Row],[HalfWidth]],DiscreteStatsTable[[#This Row],[BatchMeansHalfWidth]])</f>
        <v>3.0827276434937004E-2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4</v>
      </c>
      <c r="D95" t="s">
        <v>84</v>
      </c>
      <c r="E95" t="s">
        <v>95</v>
      </c>
      <c r="F95" t="s">
        <v>86</v>
      </c>
      <c r="G95">
        <v>5.8524378832429198</v>
      </c>
      <c r="H95">
        <v>2E+20</v>
      </c>
      <c r="I95">
        <v>1.00943713548031</v>
      </c>
      <c r="J95">
        <v>22.071900114919</v>
      </c>
      <c r="K95">
        <v>177</v>
      </c>
      <c r="L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5.9199498486403952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5.6917182194290962E-2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9.0567938090690456E-2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5.8524378832429198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5.9906089248495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1.00943713548031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25.703581364957799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179.25</v>
      </c>
      <c r="W95" s="5">
        <f>IF((DiscreteStatsTable[[#This Row],[RepsRequested]]&gt;1),DiscreteStatsTable[[#This Row],[HalfWidth]],DiscreteStatsTable[[#This Row],[BatchMeansHalfWidth]])</f>
        <v>9.0567938090690456E-2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4</v>
      </c>
      <c r="D96" t="s">
        <v>84</v>
      </c>
      <c r="E96" t="s">
        <v>96</v>
      </c>
      <c r="F96" t="s">
        <v>86</v>
      </c>
      <c r="G96">
        <v>0</v>
      </c>
      <c r="H96">
        <v>2E+20</v>
      </c>
      <c r="I96">
        <v>0</v>
      </c>
      <c r="J96">
        <v>0</v>
      </c>
      <c r="K96">
        <v>177</v>
      </c>
      <c r="L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179.25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4</v>
      </c>
      <c r="D97" t="s">
        <v>84</v>
      </c>
      <c r="E97" t="s">
        <v>97</v>
      </c>
      <c r="F97" t="s">
        <v>86</v>
      </c>
      <c r="G97">
        <v>81.764701955382606</v>
      </c>
      <c r="H97">
        <v>2E+20</v>
      </c>
      <c r="I97">
        <v>0</v>
      </c>
      <c r="J97">
        <v>212.145179120785</v>
      </c>
      <c r="K97">
        <v>177</v>
      </c>
      <c r="L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103.40917964138382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22.165847871959986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35.2708103317999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81.764701955382606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133.33677667994101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257.28997277017498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179.25</v>
      </c>
      <c r="W97" s="5">
        <f>IF((DiscreteStatsTable[[#This Row],[RepsRequested]]&gt;1),DiscreteStatsTable[[#This Row],[HalfWidth]],DiscreteStatsTable[[#This Row],[BatchMeansHalfWidth]])</f>
        <v>35.2708103317999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</v>
      </c>
      <c r="D98" t="s">
        <v>98</v>
      </c>
      <c r="E98" t="s">
        <v>72</v>
      </c>
      <c r="F98" t="s">
        <v>73</v>
      </c>
      <c r="G98">
        <v>1.4491618029714599</v>
      </c>
      <c r="H98">
        <v>2E+20</v>
      </c>
      <c r="I98">
        <v>1.0937160298197199</v>
      </c>
      <c r="J98">
        <v>1.96039605280914</v>
      </c>
      <c r="K98">
        <v>3</v>
      </c>
      <c r="L98" s="5" t="str">
        <f>DiscreteStatsTable[[#This Row],[ProjectName]]&amp;DiscreteStatsTable[[#This Row],[Name]]&amp;DiscreteStatsTable[[#This Row],[Type]]&amp;DiscreteStatsTable[[#This Row],[Source]]</f>
        <v>Airport Security AnalysisExtra Bag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2.2276987956282599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1.0647852813986325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1.4491618029714599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3.7966681646812499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0.460119641983192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4.1853596289037203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3</v>
      </c>
      <c r="W98" s="5">
        <f>IF((DiscreteStatsTable[[#This Row],[RepsRequested]]&gt;1),DiscreteStatsTable[[#This Row],[HalfWidth]],DiscreteStatsTable[[#This Row],[BatchMeansHalfWidth]])</f>
        <v>1.6943109923537756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</v>
      </c>
      <c r="D99" t="s">
        <v>98</v>
      </c>
      <c r="E99" t="s">
        <v>74</v>
      </c>
      <c r="F99" t="s">
        <v>73</v>
      </c>
      <c r="G99">
        <v>77.3148412503201</v>
      </c>
      <c r="H99">
        <v>2E+20</v>
      </c>
      <c r="I99">
        <v>34.956332863877797</v>
      </c>
      <c r="J99">
        <v>114.492334115465</v>
      </c>
      <c r="K99">
        <v>3</v>
      </c>
      <c r="L99" s="5" t="str">
        <f>DiscreteStatsTable[[#This Row],[ProjectName]]&amp;DiscreteStatsTable[[#This Row],[Name]]&amp;DiscreteStatsTable[[#This Row],[Type]]&amp;DiscreteStatsTable[[#This Row],[Source]]</f>
        <v>Airport Security AnalysisExtra Bag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68.250516158233097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10.571888918538377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16.822234414336116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58.173536773405097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77.448053481044795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29.2733866500859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114.492334115465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3</v>
      </c>
      <c r="W99" s="5">
        <f>IF((DiscreteStatsTable[[#This Row],[RepsRequested]]&gt;1),DiscreteStatsTable[[#This Row],[HalfWidth]],DiscreteStatsTable[[#This Row],[BatchMeansHalfWidth]])</f>
        <v>16.822234414336116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</v>
      </c>
      <c r="D100" t="s">
        <v>98</v>
      </c>
      <c r="E100" t="s">
        <v>75</v>
      </c>
      <c r="F100" t="s">
        <v>73</v>
      </c>
      <c r="G100">
        <v>1.4491618029714599</v>
      </c>
      <c r="H100">
        <v>2E+20</v>
      </c>
      <c r="I100">
        <v>1.0937160298197199</v>
      </c>
      <c r="J100">
        <v>1.96039605280914</v>
      </c>
      <c r="K100">
        <v>3</v>
      </c>
      <c r="L100" s="5" t="str">
        <f>DiscreteStatsTable[[#This Row],[ProjectName]]&amp;DiscreteStatsTable[[#This Row],[Name]]&amp;DiscreteStatsTable[[#This Row],[Type]]&amp;DiscreteStatsTable[[#This Row],[Source]]</f>
        <v>Airport Security AnalysisExtra Bag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2.2276987956282599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1.0647852813986325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1.4491618029714599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3.7966681646812499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0.460119641983192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4.1853596289037203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3</v>
      </c>
      <c r="W100" s="5">
        <f>IF((DiscreteStatsTable[[#This Row],[RepsRequested]]&gt;1),DiscreteStatsTable[[#This Row],[HalfWidth]],DiscreteStatsTable[[#This Row],[BatchMeansHalfWidth]])</f>
        <v>1.6943109923537756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</v>
      </c>
      <c r="D101" t="s">
        <v>98</v>
      </c>
      <c r="E101" t="s">
        <v>76</v>
      </c>
      <c r="F101" t="s">
        <v>73</v>
      </c>
      <c r="G101">
        <v>7.2458090148572998</v>
      </c>
      <c r="H101">
        <v>2E+20</v>
      </c>
      <c r="I101">
        <v>5.4685801490985897</v>
      </c>
      <c r="J101">
        <v>9.8019802640457101</v>
      </c>
      <c r="K101">
        <v>3</v>
      </c>
      <c r="L101" s="5" t="str">
        <f>DiscreteStatsTable[[#This Row],[ProjectName]]&amp;DiscreteStatsTable[[#This Row],[Name]]&amp;DiscreteStatsTable[[#This Row],[Type]]&amp;DiscreteStatsTable[[#This Row],[Source]]</f>
        <v>Airport Security AnalysisExtra Bag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11.138493978141318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5.3239264069931878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8.4715549617689181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7.2458090148572998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18.983340823406301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2.3005982099159601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20.9267981445186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3</v>
      </c>
      <c r="W101" s="5">
        <f>IF((DiscreteStatsTable[[#This Row],[RepsRequested]]&gt;1),DiscreteStatsTable[[#This Row],[HalfWidth]],DiscreteStatsTable[[#This Row],[BatchMeansHalfWidth]])</f>
        <v>8.4715549617689181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</v>
      </c>
      <c r="D102" t="s">
        <v>98</v>
      </c>
      <c r="E102" t="s">
        <v>78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3</v>
      </c>
      <c r="L102" s="5" t="str">
        <f>DiscreteStatsTable[[#This Row],[ProjectName]]&amp;DiscreteStatsTable[[#This Row],[Name]]&amp;DiscreteStatsTable[[#This Row],[Type]]&amp;DiscreteStatsTable[[#This Row],[Source]]</f>
        <v>Airport Security AnalysisExtra Bag CheckWait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3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</v>
      </c>
      <c r="D103" t="s">
        <v>98</v>
      </c>
      <c r="E103" t="s">
        <v>79</v>
      </c>
      <c r="F103" t="s">
        <v>73</v>
      </c>
      <c r="G103">
        <v>70.069032235462799</v>
      </c>
      <c r="H103">
        <v>2E+20</v>
      </c>
      <c r="I103">
        <v>29.487752714779202</v>
      </c>
      <c r="J103">
        <v>108.025467484038</v>
      </c>
      <c r="K103">
        <v>3</v>
      </c>
      <c r="L103" s="5" t="str">
        <f>DiscreteStatsTable[[#This Row],[ProjectName]]&amp;DiscreteStatsTable[[#This Row],[Name]]&amp;DiscreteStatsTable[[#This Row],[Type]]&amp;DiscreteStatsTable[[#This Row],[Source]]</f>
        <v>Airport Security AnalysisExtra Bag CheckWait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57.11202218009177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14.556199183750103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41.082292304756102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70.069032235462799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12.221377542920401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109.45331517216999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3</v>
      </c>
      <c r="W103" s="5">
        <f>IF((DiscreteStatsTable[[#This Row],[RepsRequested]]&gt;1),DiscreteStatsTable[[#This Row],[HalfWidth]],DiscreteStatsTable[[#This Row],[BatchMeansHalfWidth]])</f>
        <v>23.162161155649617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2</v>
      </c>
      <c r="D104" t="s">
        <v>98</v>
      </c>
      <c r="E104" t="s">
        <v>72</v>
      </c>
      <c r="F104" t="s">
        <v>73</v>
      </c>
      <c r="G104">
        <v>1.7297044831521899</v>
      </c>
      <c r="H104">
        <v>2E+20</v>
      </c>
      <c r="I104">
        <v>0.51178070436281997</v>
      </c>
      <c r="J104">
        <v>3.2056308383301002</v>
      </c>
      <c r="K104">
        <v>4</v>
      </c>
      <c r="L104" s="5" t="str">
        <f>DiscreteStatsTable[[#This Row],[ProjectName]]&amp;DiscreteStatsTable[[#This Row],[Name]]&amp;DiscreteStatsTable[[#This Row],[Type]]&amp;DiscreteStatsTable[[#This Row],[Source]]</f>
        <v>Airport Security AnalysisExtra Bag CheckTotal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2.2276987956282599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1.0647852813986325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1.4491618029714599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3.7966681646812499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0.460119641983192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4.1853596289037203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3</v>
      </c>
      <c r="W104" s="5">
        <f>IF((DiscreteStatsTable[[#This Row],[RepsRequested]]&gt;1),DiscreteStatsTable[[#This Row],[HalfWidth]],DiscreteStatsTable[[#This Row],[BatchMeansHalfWidth]])</f>
        <v>1.6943109923537756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2</v>
      </c>
      <c r="D105" t="s">
        <v>98</v>
      </c>
      <c r="E105" t="s">
        <v>74</v>
      </c>
      <c r="F105" t="s">
        <v>73</v>
      </c>
      <c r="G105">
        <v>77.448053481044795</v>
      </c>
      <c r="H105">
        <v>2E+20</v>
      </c>
      <c r="I105">
        <v>46.795830148676899</v>
      </c>
      <c r="J105">
        <v>112.012218693984</v>
      </c>
      <c r="K105">
        <v>4</v>
      </c>
      <c r="L105" s="5" t="str">
        <f>DiscreteStatsTable[[#This Row],[ProjectName]]&amp;DiscreteStatsTable[[#This Row],[Name]]&amp;DiscreteStatsTable[[#This Row],[Type]]&amp;DiscreteStatsTable[[#This Row],[Source]]</f>
        <v>Airport Security AnalysisExtra Bag CheckTotal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68.250516158233097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10.571888918538377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16.822234414336116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58.173536773405097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77.448053481044795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29.2733866500859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114.492334115465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3</v>
      </c>
      <c r="W105" s="5">
        <f>IF((DiscreteStatsTable[[#This Row],[RepsRequested]]&gt;1),DiscreteStatsTable[[#This Row],[HalfWidth]],DiscreteStatsTable[[#This Row],[BatchMeansHalfWidth]])</f>
        <v>16.822234414336116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2</v>
      </c>
      <c r="D106" t="s">
        <v>98</v>
      </c>
      <c r="E106" t="s">
        <v>75</v>
      </c>
      <c r="F106" t="s">
        <v>73</v>
      </c>
      <c r="G106">
        <v>1.7297044831521899</v>
      </c>
      <c r="H106">
        <v>2E+20</v>
      </c>
      <c r="I106">
        <v>0.51178070436281997</v>
      </c>
      <c r="J106">
        <v>3.2056308383301002</v>
      </c>
      <c r="K106">
        <v>4</v>
      </c>
      <c r="L106" s="5" t="str">
        <f>DiscreteStatsTable[[#This Row],[ProjectName]]&amp;DiscreteStatsTable[[#This Row],[Name]]&amp;DiscreteStatsTable[[#This Row],[Type]]&amp;DiscreteStatsTable[[#This Row],[Source]]</f>
        <v>Airport Security AnalysisExtra Bag CheckVA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2.2276987956282599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1.0647852813986325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1.4491618029714599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3.7966681646812499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0.460119641983192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4.1853596289037203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3</v>
      </c>
      <c r="W106" s="5">
        <f>IF((DiscreteStatsTable[[#This Row],[RepsRequested]]&gt;1),DiscreteStatsTable[[#This Row],[HalfWidth]],DiscreteStatsTable[[#This Row],[BatchMeansHalfWidth]])</f>
        <v>1.6943109923537756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2</v>
      </c>
      <c r="D107" t="s">
        <v>98</v>
      </c>
      <c r="E107" t="s">
        <v>76</v>
      </c>
      <c r="F107" t="s">
        <v>73</v>
      </c>
      <c r="G107">
        <v>8.6485224157609508</v>
      </c>
      <c r="H107">
        <v>2E+20</v>
      </c>
      <c r="I107">
        <v>2.5589035218140999</v>
      </c>
      <c r="J107">
        <v>16.028154191650501</v>
      </c>
      <c r="K107">
        <v>4</v>
      </c>
      <c r="L107" s="5" t="str">
        <f>DiscreteStatsTable[[#This Row],[ProjectName]]&amp;DiscreteStatsTable[[#This Row],[Name]]&amp;DiscreteStatsTable[[#This Row],[Type]]&amp;DiscreteStatsTable[[#This Row],[Source]]</f>
        <v>Airport Security AnalysisExtra Bag CheckVA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11.138493978141318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5.3239264069931878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8.4715549617689181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7.2458090148572998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18.983340823406301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2.3005982099159601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20.9267981445186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3</v>
      </c>
      <c r="W107" s="5">
        <f>IF((DiscreteStatsTable[[#This Row],[RepsRequested]]&gt;1),DiscreteStatsTable[[#This Row],[HalfWidth]],DiscreteStatsTable[[#This Row],[BatchMeansHalfWidth]])</f>
        <v>8.4715549617689181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2</v>
      </c>
      <c r="D108" t="s">
        <v>98</v>
      </c>
      <c r="E108" t="s">
        <v>78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4</v>
      </c>
      <c r="L108" s="5" t="str">
        <f>DiscreteStatsTable[[#This Row],[ProjectName]]&amp;DiscreteStatsTable[[#This Row],[Name]]&amp;DiscreteStatsTable[[#This Row],[Type]]&amp;DiscreteStatsTable[[#This Row],[Source]]</f>
        <v>Airport Security AnalysisExtra Bag CheckWait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3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2</v>
      </c>
      <c r="D109" t="s">
        <v>98</v>
      </c>
      <c r="E109" t="s">
        <v>79</v>
      </c>
      <c r="F109" t="s">
        <v>73</v>
      </c>
      <c r="G109">
        <v>68.799531065283801</v>
      </c>
      <c r="H109">
        <v>2E+20</v>
      </c>
      <c r="I109">
        <v>42.7108956408889</v>
      </c>
      <c r="J109">
        <v>109.45331517216999</v>
      </c>
      <c r="K109">
        <v>4</v>
      </c>
      <c r="L109" s="5" t="str">
        <f>DiscreteStatsTable[[#This Row],[ProjectName]]&amp;DiscreteStatsTable[[#This Row],[Name]]&amp;DiscreteStatsTable[[#This Row],[Type]]&amp;DiscreteStatsTable[[#This Row],[Source]]</f>
        <v>Airport Security AnalysisExtra Bag CheckWait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57.11202218009177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14.556199183750103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41.082292304756102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70.069032235462799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12.221377542920401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109.45331517216999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3</v>
      </c>
      <c r="W109" s="5">
        <f>IF((DiscreteStatsTable[[#This Row],[RepsRequested]]&gt;1),DiscreteStatsTable[[#This Row],[HalfWidth]],DiscreteStatsTable[[#This Row],[BatchMeansHalfWidth]])</f>
        <v>23.162161155649617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3</v>
      </c>
      <c r="D110" t="s">
        <v>98</v>
      </c>
      <c r="E110" t="s">
        <v>72</v>
      </c>
      <c r="F110" t="s">
        <v>73</v>
      </c>
      <c r="G110">
        <v>3.7966681646812499</v>
      </c>
      <c r="H110">
        <v>2E+20</v>
      </c>
      <c r="I110">
        <v>3.4099664379337402</v>
      </c>
      <c r="J110">
        <v>4.1853596289037203</v>
      </c>
      <c r="K110">
        <v>3</v>
      </c>
      <c r="L110" s="5" t="str">
        <f>DiscreteStatsTable[[#This Row],[ProjectName]]&amp;DiscreteStatsTable[[#This Row],[Name]]&amp;DiscreteStatsTable[[#This Row],[Type]]&amp;DiscreteStatsTable[[#This Row],[Source]]</f>
        <v>Airport Security AnalysisExtra Bag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2.2276987956282599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1.0647852813986325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1.4491618029714599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3.7966681646812499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0.460119641983192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4.1853596289037203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3</v>
      </c>
      <c r="W110" s="5">
        <f>IF((DiscreteStatsTable[[#This Row],[RepsRequested]]&gt;1),DiscreteStatsTable[[#This Row],[HalfWidth]],DiscreteStatsTable[[#This Row],[BatchMeansHalfWidth]])</f>
        <v>1.6943109923537756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3</v>
      </c>
      <c r="D111" t="s">
        <v>98</v>
      </c>
      <c r="E111" t="s">
        <v>74</v>
      </c>
      <c r="F111" t="s">
        <v>73</v>
      </c>
      <c r="G111">
        <v>60.065633128162403</v>
      </c>
      <c r="H111">
        <v>2E+20</v>
      </c>
      <c r="I111">
        <v>42.693841251043601</v>
      </c>
      <c r="J111">
        <v>77.470063494270505</v>
      </c>
      <c r="K111">
        <v>3</v>
      </c>
      <c r="L111" s="5" t="str">
        <f>DiscreteStatsTable[[#This Row],[ProjectName]]&amp;DiscreteStatsTable[[#This Row],[Name]]&amp;DiscreteStatsTable[[#This Row],[Type]]&amp;DiscreteStatsTable[[#This Row],[Source]]</f>
        <v>Airport Security AnalysisExtra Bag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68.250516158233097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10.571888918538377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16.822234414336116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58.173536773405097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77.448053481044795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29.2733866500859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114.492334115465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3</v>
      </c>
      <c r="W111" s="5">
        <f>IF((DiscreteStatsTable[[#This Row],[RepsRequested]]&gt;1),DiscreteStatsTable[[#This Row],[HalfWidth]],DiscreteStatsTable[[#This Row],[BatchMeansHalfWidth]])</f>
        <v>16.822234414336116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3</v>
      </c>
      <c r="D112" t="s">
        <v>98</v>
      </c>
      <c r="E112" t="s">
        <v>75</v>
      </c>
      <c r="F112" t="s">
        <v>73</v>
      </c>
      <c r="G112">
        <v>3.7966681646812499</v>
      </c>
      <c r="H112">
        <v>2E+20</v>
      </c>
      <c r="I112">
        <v>3.4099664379337402</v>
      </c>
      <c r="J112">
        <v>4.1853596289037203</v>
      </c>
      <c r="K112">
        <v>3</v>
      </c>
      <c r="L112" s="5" t="str">
        <f>DiscreteStatsTable[[#This Row],[ProjectName]]&amp;DiscreteStatsTable[[#This Row],[Name]]&amp;DiscreteStatsTable[[#This Row],[Type]]&amp;DiscreteStatsTable[[#This Row],[Source]]</f>
        <v>Airport Security AnalysisExtra Bag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2.2276987956282599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1.0647852813986325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1.4491618029714599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3.7966681646812499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0.460119641983192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4.1853596289037203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3</v>
      </c>
      <c r="W112" s="5">
        <f>IF((DiscreteStatsTable[[#This Row],[RepsRequested]]&gt;1),DiscreteStatsTable[[#This Row],[HalfWidth]],DiscreteStatsTable[[#This Row],[BatchMeansHalfWidth]])</f>
        <v>1.6943109923537756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3</v>
      </c>
      <c r="D113" t="s">
        <v>98</v>
      </c>
      <c r="E113" t="s">
        <v>76</v>
      </c>
      <c r="F113" t="s">
        <v>73</v>
      </c>
      <c r="G113">
        <v>18.983340823406301</v>
      </c>
      <c r="H113">
        <v>2E+20</v>
      </c>
      <c r="I113">
        <v>17.049832189668699</v>
      </c>
      <c r="J113">
        <v>20.9267981445186</v>
      </c>
      <c r="K113">
        <v>3</v>
      </c>
      <c r="L113" s="5" t="str">
        <f>DiscreteStatsTable[[#This Row],[ProjectName]]&amp;DiscreteStatsTable[[#This Row],[Name]]&amp;DiscreteStatsTable[[#This Row],[Type]]&amp;DiscreteStatsTable[[#This Row],[Source]]</f>
        <v>Airport Security AnalysisExtra Bag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11.138493978141318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5.3239264069931878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8.4715549617689181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7.2458090148572998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18.983340823406301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2.3005982099159601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20.9267981445186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3</v>
      </c>
      <c r="W113" s="5">
        <f>IF((DiscreteStatsTable[[#This Row],[RepsRequested]]&gt;1),DiscreteStatsTable[[#This Row],[HalfWidth]],DiscreteStatsTable[[#This Row],[BatchMeansHalfWidth]])</f>
        <v>8.4715549617689181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3</v>
      </c>
      <c r="D114" t="s">
        <v>98</v>
      </c>
      <c r="E114" t="s">
        <v>78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3</v>
      </c>
      <c r="L114" s="5" t="str">
        <f>DiscreteStatsTable[[#This Row],[ProjectName]]&amp;DiscreteStatsTable[[#This Row],[Name]]&amp;DiscreteStatsTable[[#This Row],[Type]]&amp;DiscreteStatsTable[[#This Row],[Source]]</f>
        <v>Airport Security AnalysisExtra Bag CheckWait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3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3</v>
      </c>
      <c r="D115" t="s">
        <v>98</v>
      </c>
      <c r="E115" t="s">
        <v>79</v>
      </c>
      <c r="F115" t="s">
        <v>73</v>
      </c>
      <c r="G115">
        <v>41.082292304756102</v>
      </c>
      <c r="H115">
        <v>2E+20</v>
      </c>
      <c r="I115">
        <v>23.720449115012102</v>
      </c>
      <c r="J115">
        <v>60.420231304601799</v>
      </c>
      <c r="K115">
        <v>3</v>
      </c>
      <c r="L115" s="5" t="str">
        <f>DiscreteStatsTable[[#This Row],[ProjectName]]&amp;DiscreteStatsTable[[#This Row],[Name]]&amp;DiscreteStatsTable[[#This Row],[Type]]&amp;DiscreteStatsTable[[#This Row],[Source]]</f>
        <v>Airport Security AnalysisExtra Bag CheckWait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57.11202218009177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14.556199183750103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41.082292304756102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70.069032235462799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12.221377542920401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109.45331517216999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3</v>
      </c>
      <c r="W115" s="5">
        <f>IF((DiscreteStatsTable[[#This Row],[RepsRequested]]&gt;1),DiscreteStatsTable[[#This Row],[HalfWidth]],DiscreteStatsTable[[#This Row],[BatchMeansHalfWidth]])</f>
        <v>23.162161155649617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4</v>
      </c>
      <c r="D116" t="s">
        <v>98</v>
      </c>
      <c r="E116" t="s">
        <v>72</v>
      </c>
      <c r="F116" t="s">
        <v>73</v>
      </c>
      <c r="G116">
        <v>1.9352607317081401</v>
      </c>
      <c r="H116">
        <v>2E+20</v>
      </c>
      <c r="I116">
        <v>0.460119641983192</v>
      </c>
      <c r="J116">
        <v>3.4104018214331</v>
      </c>
      <c r="K116">
        <v>2</v>
      </c>
      <c r="L116" s="5" t="str">
        <f>DiscreteStatsTable[[#This Row],[ProjectName]]&amp;DiscreteStatsTable[[#This Row],[Name]]&amp;DiscreteStatsTable[[#This Row],[Type]]&amp;DiscreteStatsTable[[#This Row],[Source]]</f>
        <v>Airport Security AnalysisExtra Bag CheckTotal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2.2276987956282599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1.0647852813986325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1.4491618029714599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3.7966681646812499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0.460119641983192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4.1853596289037203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3</v>
      </c>
      <c r="W116" s="5">
        <f>IF((DiscreteStatsTable[[#This Row],[RepsRequested]]&gt;1),DiscreteStatsTable[[#This Row],[HalfWidth]],DiscreteStatsTable[[#This Row],[BatchMeansHalfWidth]])</f>
        <v>1.6943109923537756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4</v>
      </c>
      <c r="D117" t="s">
        <v>98</v>
      </c>
      <c r="E117" t="s">
        <v>74</v>
      </c>
      <c r="F117" t="s">
        <v>73</v>
      </c>
      <c r="G117">
        <v>58.173536773405097</v>
      </c>
      <c r="H117">
        <v>2E+20</v>
      </c>
      <c r="I117">
        <v>29.2733866500859</v>
      </c>
      <c r="J117">
        <v>87.073686896724396</v>
      </c>
      <c r="K117">
        <v>2</v>
      </c>
      <c r="L117" s="5" t="str">
        <f>DiscreteStatsTable[[#This Row],[ProjectName]]&amp;DiscreteStatsTable[[#This Row],[Name]]&amp;DiscreteStatsTable[[#This Row],[Type]]&amp;DiscreteStatsTable[[#This Row],[Source]]</f>
        <v>Airport Security AnalysisExtra Bag CheckTotal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68.250516158233097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10.571888918538377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16.822234414336116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58.173536773405097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77.448053481044795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29.2733866500859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114.492334115465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3</v>
      </c>
      <c r="W117" s="5">
        <f>IF((DiscreteStatsTable[[#This Row],[RepsRequested]]&gt;1),DiscreteStatsTable[[#This Row],[HalfWidth]],DiscreteStatsTable[[#This Row],[BatchMeansHalfWidth]])</f>
        <v>16.822234414336116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4</v>
      </c>
      <c r="D118" t="s">
        <v>98</v>
      </c>
      <c r="E118" t="s">
        <v>75</v>
      </c>
      <c r="F118" t="s">
        <v>73</v>
      </c>
      <c r="G118">
        <v>1.9352607317081401</v>
      </c>
      <c r="H118">
        <v>2E+20</v>
      </c>
      <c r="I118">
        <v>0.460119641983192</v>
      </c>
      <c r="J118">
        <v>3.4104018214331</v>
      </c>
      <c r="K118">
        <v>2</v>
      </c>
      <c r="L118" s="5" t="str">
        <f>DiscreteStatsTable[[#This Row],[ProjectName]]&amp;DiscreteStatsTable[[#This Row],[Name]]&amp;DiscreteStatsTable[[#This Row],[Type]]&amp;DiscreteStatsTable[[#This Row],[Source]]</f>
        <v>Airport Security AnalysisExtra Bag CheckVA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2.2276987956282599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1.0647852813986325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1.6943109923537756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1.4491618029714599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3.7966681646812499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0.460119641983192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4.1853596289037203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3</v>
      </c>
      <c r="W118" s="5">
        <f>IF((DiscreteStatsTable[[#This Row],[RepsRequested]]&gt;1),DiscreteStatsTable[[#This Row],[HalfWidth]],DiscreteStatsTable[[#This Row],[BatchMeansHalfWidth]])</f>
        <v>1.6943109923537756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4</v>
      </c>
      <c r="D119" t="s">
        <v>98</v>
      </c>
      <c r="E119" t="s">
        <v>76</v>
      </c>
      <c r="F119" t="s">
        <v>73</v>
      </c>
      <c r="G119">
        <v>9.6763036585407196</v>
      </c>
      <c r="H119">
        <v>2E+20</v>
      </c>
      <c r="I119">
        <v>2.3005982099159601</v>
      </c>
      <c r="J119">
        <v>17.0520091071655</v>
      </c>
      <c r="K119">
        <v>2</v>
      </c>
      <c r="L119" s="5" t="str">
        <f>DiscreteStatsTable[[#This Row],[ProjectName]]&amp;DiscreteStatsTable[[#This Row],[Name]]&amp;DiscreteStatsTable[[#This Row],[Type]]&amp;DiscreteStatsTable[[#This Row],[Source]]</f>
        <v>Airport Security AnalysisExtra Bag CheckVA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11.138493978141318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5.3239264069931878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8.4715549617689181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7.2458090148572998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18.983340823406301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2.3005982099159601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20.9267981445186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3</v>
      </c>
      <c r="W119" s="5">
        <f>IF((DiscreteStatsTable[[#This Row],[RepsRequested]]&gt;1),DiscreteStatsTable[[#This Row],[HalfWidth]],DiscreteStatsTable[[#This Row],[BatchMeansHalfWidth]])</f>
        <v>8.4715549617689181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4</v>
      </c>
      <c r="D120" t="s">
        <v>98</v>
      </c>
      <c r="E120" t="s">
        <v>78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2</v>
      </c>
      <c r="L120" s="5" t="str">
        <f>DiscreteStatsTable[[#This Row],[ProjectName]]&amp;DiscreteStatsTable[[#This Row],[Name]]&amp;DiscreteStatsTable[[#This Row],[Type]]&amp;DiscreteStatsTable[[#This Row],[Source]]</f>
        <v>Airport Security AnalysisExtra Bag CheckWait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3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4</v>
      </c>
      <c r="D121" t="s">
        <v>98</v>
      </c>
      <c r="E121" t="s">
        <v>79</v>
      </c>
      <c r="F121" t="s">
        <v>73</v>
      </c>
      <c r="G121">
        <v>48.4972331148644</v>
      </c>
      <c r="H121">
        <v>2E+20</v>
      </c>
      <c r="I121">
        <v>12.221377542920401</v>
      </c>
      <c r="J121">
        <v>84.773088686808507</v>
      </c>
      <c r="K121">
        <v>2</v>
      </c>
      <c r="L121" s="5" t="str">
        <f>DiscreteStatsTable[[#This Row],[ProjectName]]&amp;DiscreteStatsTable[[#This Row],[Name]]&amp;DiscreteStatsTable[[#This Row],[Type]]&amp;DiscreteStatsTable[[#This Row],[Source]]</f>
        <v>Airport Security AnalysisExtra Bag CheckWait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57.11202218009177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14.556199183750103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41.082292304756102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70.069032235462799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12.221377542920401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109.45331517216999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3</v>
      </c>
      <c r="W121" s="5">
        <f>IF((DiscreteStatsTable[[#This Row],[RepsRequested]]&gt;1),DiscreteStatsTable[[#This Row],[HalfWidth]],DiscreteStatsTable[[#This Row],[BatchMeansHalfWidth]])</f>
        <v>23.162161155649617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1</v>
      </c>
      <c r="D122" t="s">
        <v>99</v>
      </c>
      <c r="E122" t="s">
        <v>81</v>
      </c>
      <c r="F122" t="s">
        <v>82</v>
      </c>
      <c r="G122">
        <v>0</v>
      </c>
      <c r="H122">
        <v>2E+20</v>
      </c>
      <c r="I122">
        <v>0</v>
      </c>
      <c r="J122">
        <v>0</v>
      </c>
      <c r="K122">
        <v>3</v>
      </c>
      <c r="L122" s="5" t="str">
        <f>DiscreteStatsTable[[#This Row],[ProjectName]]&amp;DiscreteStatsTable[[#This Row],[Name]]&amp;DiscreteStatsTable[[#This Row],[Type]]&amp;DiscreteStatsTable[[#This Row],[Source]]</f>
        <v>Airport Security AnalysisExtra Bag Check.QueueWaiting CostQueue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1</v>
      </c>
      <c r="D123" t="s">
        <v>99</v>
      </c>
      <c r="E123" t="s">
        <v>83</v>
      </c>
      <c r="F123" t="s">
        <v>82</v>
      </c>
      <c r="G123">
        <v>70.069032235462799</v>
      </c>
      <c r="H123">
        <v>2E+20</v>
      </c>
      <c r="I123">
        <v>29.487752714779202</v>
      </c>
      <c r="J123">
        <v>108.025467484038</v>
      </c>
      <c r="K123">
        <v>3</v>
      </c>
      <c r="L123" s="5" t="str">
        <f>DiscreteStatsTable[[#This Row],[ProjectName]]&amp;DiscreteStatsTable[[#This Row],[Name]]&amp;DiscreteStatsTable[[#This Row],[Type]]&amp;DiscreteStatsTable[[#This Row],[Source]]</f>
        <v>Airport Security AnalysisExtra Bag Check.QueueWaiting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57.11202218009177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14.556199183750103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41.082292304756102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70.069032235462799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12.221377542920401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109.45331517216999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</v>
      </c>
      <c r="W123" s="5">
        <f>IF((DiscreteStatsTable[[#This Row],[RepsRequested]]&gt;1),DiscreteStatsTable[[#This Row],[HalfWidth]],DiscreteStatsTable[[#This Row],[BatchMeansHalfWidth]])</f>
        <v>23.162161155649617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</v>
      </c>
      <c r="D124" t="s">
        <v>99</v>
      </c>
      <c r="E124" t="s">
        <v>81</v>
      </c>
      <c r="F124" t="s">
        <v>82</v>
      </c>
      <c r="G124">
        <v>0</v>
      </c>
      <c r="H124">
        <v>2E+20</v>
      </c>
      <c r="I124">
        <v>0</v>
      </c>
      <c r="J124">
        <v>0</v>
      </c>
      <c r="K124">
        <v>4</v>
      </c>
      <c r="L124" s="5" t="str">
        <f>DiscreteStatsTable[[#This Row],[ProjectName]]&amp;DiscreteStatsTable[[#This Row],[Name]]&amp;DiscreteStatsTable[[#This Row],[Type]]&amp;DiscreteStatsTable[[#This Row],[Source]]</f>
        <v>Airport Security AnalysisExtra Bag Check.QueueWaiting CostQueue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</v>
      </c>
      <c r="D125" t="s">
        <v>99</v>
      </c>
      <c r="E125" t="s">
        <v>83</v>
      </c>
      <c r="F125" t="s">
        <v>82</v>
      </c>
      <c r="G125">
        <v>68.799531065283801</v>
      </c>
      <c r="H125">
        <v>2E+20</v>
      </c>
      <c r="I125">
        <v>42.7108956408889</v>
      </c>
      <c r="J125">
        <v>109.45331517216999</v>
      </c>
      <c r="K125">
        <v>4</v>
      </c>
      <c r="L125" s="5" t="str">
        <f>DiscreteStatsTable[[#This Row],[ProjectName]]&amp;DiscreteStatsTable[[#This Row],[Name]]&amp;DiscreteStatsTable[[#This Row],[Type]]&amp;DiscreteStatsTable[[#This Row],[Source]]</f>
        <v>Airport Security AnalysisExtra Bag Check.QueueWaiting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57.11202218009177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14.556199183750103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41.082292304756102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70.069032235462799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12.221377542920401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109.45331517216999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</v>
      </c>
      <c r="W125" s="5">
        <f>IF((DiscreteStatsTable[[#This Row],[RepsRequested]]&gt;1),DiscreteStatsTable[[#This Row],[HalfWidth]],DiscreteStatsTable[[#This Row],[BatchMeansHalfWidth]])</f>
        <v>23.162161155649617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3</v>
      </c>
      <c r="D126" t="s">
        <v>99</v>
      </c>
      <c r="E126" t="s">
        <v>81</v>
      </c>
      <c r="F126" t="s">
        <v>82</v>
      </c>
      <c r="G126">
        <v>0</v>
      </c>
      <c r="H126">
        <v>2E+20</v>
      </c>
      <c r="I126">
        <v>0</v>
      </c>
      <c r="J126">
        <v>0</v>
      </c>
      <c r="K126">
        <v>3</v>
      </c>
      <c r="L126" s="5" t="str">
        <f>DiscreteStatsTable[[#This Row],[ProjectName]]&amp;DiscreteStatsTable[[#This Row],[Name]]&amp;DiscreteStatsTable[[#This Row],[Type]]&amp;DiscreteStatsTable[[#This Row],[Source]]</f>
        <v>Airport Security AnalysisExtra Bag Check.QueueWaiting CostQueue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3</v>
      </c>
      <c r="D127" t="s">
        <v>99</v>
      </c>
      <c r="E127" t="s">
        <v>83</v>
      </c>
      <c r="F127" t="s">
        <v>82</v>
      </c>
      <c r="G127">
        <v>41.082292304756102</v>
      </c>
      <c r="H127">
        <v>2E+20</v>
      </c>
      <c r="I127">
        <v>23.720449115012102</v>
      </c>
      <c r="J127">
        <v>60.420231304601799</v>
      </c>
      <c r="K127">
        <v>3</v>
      </c>
      <c r="L127" s="5" t="str">
        <f>DiscreteStatsTable[[#This Row],[ProjectName]]&amp;DiscreteStatsTable[[#This Row],[Name]]&amp;DiscreteStatsTable[[#This Row],[Type]]&amp;DiscreteStatsTable[[#This Row],[Source]]</f>
        <v>Airport Security AnalysisExtra Bag Check.QueueWaiting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57.11202218009177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14.556199183750103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41.082292304756102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70.069032235462799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12.221377542920401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109.45331517216999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</v>
      </c>
      <c r="W127" s="5">
        <f>IF((DiscreteStatsTable[[#This Row],[RepsRequested]]&gt;1),DiscreteStatsTable[[#This Row],[HalfWidth]],DiscreteStatsTable[[#This Row],[BatchMeansHalfWidth]])</f>
        <v>23.162161155649617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4</v>
      </c>
      <c r="D128" t="s">
        <v>99</v>
      </c>
      <c r="E128" t="s">
        <v>81</v>
      </c>
      <c r="F128" t="s">
        <v>82</v>
      </c>
      <c r="G128">
        <v>0</v>
      </c>
      <c r="H128">
        <v>2E+20</v>
      </c>
      <c r="I128">
        <v>0</v>
      </c>
      <c r="J128">
        <v>0</v>
      </c>
      <c r="K128">
        <v>2</v>
      </c>
      <c r="L128" s="5" t="str">
        <f>DiscreteStatsTable[[#This Row],[ProjectName]]&amp;DiscreteStatsTable[[#This Row],[Name]]&amp;DiscreteStatsTable[[#This Row],[Type]]&amp;DiscreteStatsTable[[#This Row],[Source]]</f>
        <v>Airport Security AnalysisExtra Bag Check.QueueWaiting CostQueue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4</v>
      </c>
      <c r="D129" t="s">
        <v>99</v>
      </c>
      <c r="E129" t="s">
        <v>83</v>
      </c>
      <c r="F129" t="s">
        <v>82</v>
      </c>
      <c r="G129">
        <v>48.4972331148644</v>
      </c>
      <c r="H129">
        <v>2E+20</v>
      </c>
      <c r="I129">
        <v>12.221377542920401</v>
      </c>
      <c r="J129">
        <v>84.773088686808507</v>
      </c>
      <c r="K129">
        <v>2</v>
      </c>
      <c r="L129" s="5" t="str">
        <f>DiscreteStatsTable[[#This Row],[ProjectName]]&amp;DiscreteStatsTable[[#This Row],[Name]]&amp;DiscreteStatsTable[[#This Row],[Type]]&amp;DiscreteStatsTable[[#This Row],[Source]]</f>
        <v>Airport Security AnalysisExtra Bag Check.QueueWaiting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57.11202218009177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14.556199183750103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23.162161155649617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41.082292304756102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70.069032235462799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12.221377542920401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109.45331517216999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</v>
      </c>
      <c r="W129" s="5">
        <f>IF((DiscreteStatsTable[[#This Row],[RepsRequested]]&gt;1),DiscreteStatsTable[[#This Row],[HalfWidth]],DiscreteStatsTable[[#This Row],[BatchMeansHalfWidth]])</f>
        <v>23.162161155649617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1</v>
      </c>
      <c r="D130" t="s">
        <v>100</v>
      </c>
      <c r="E130" t="s">
        <v>72</v>
      </c>
      <c r="F130" t="s">
        <v>73</v>
      </c>
      <c r="G130">
        <v>0.75206298409691397</v>
      </c>
      <c r="H130">
        <v>2E+20</v>
      </c>
      <c r="I130">
        <v>0.38441413457674101</v>
      </c>
      <c r="J130">
        <v>1.30433954344338</v>
      </c>
      <c r="K130">
        <v>166</v>
      </c>
      <c r="L1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0.73663298998428628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0.72932422378411599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0.75206298409691397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0.337421144127524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1.3176437347714101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172.75</v>
      </c>
      <c r="W130" s="5">
        <f>IF((DiscreteStatsTable[[#This Row],[RepsRequested]]&gt;1),DiscreteStatsTable[[#This Row],[HalfWidth]],DiscreteStatsTable[[#This Row],[BatchMeansHalfWidth]])</f>
        <v>1.6864946069277815E-2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1</v>
      </c>
      <c r="D131" t="s">
        <v>100</v>
      </c>
      <c r="E131" t="s">
        <v>74</v>
      </c>
      <c r="F131" t="s">
        <v>73</v>
      </c>
      <c r="G131">
        <v>65.835637096916699</v>
      </c>
      <c r="H131">
        <v>2E+20</v>
      </c>
      <c r="I131">
        <v>2.3495685018580499</v>
      </c>
      <c r="J131">
        <v>126.19575507741401</v>
      </c>
      <c r="K131">
        <v>166</v>
      </c>
      <c r="L1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62.92202224996587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13.670044827940533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21.752091827871002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49.248742246025898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80.696963583649506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2.3495685018580499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135.44241264253401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172.75</v>
      </c>
      <c r="W131" s="5">
        <f>IF((DiscreteStatsTable[[#This Row],[RepsRequested]]&gt;1),DiscreteStatsTable[[#This Row],[HalfWidth]],DiscreteStatsTable[[#This Row],[BatchMeansHalfWidth]])</f>
        <v>21.752091827871002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1</v>
      </c>
      <c r="D132" t="s">
        <v>100</v>
      </c>
      <c r="E132" t="s">
        <v>75</v>
      </c>
      <c r="F132" t="s">
        <v>73</v>
      </c>
      <c r="G132">
        <v>0.75206298409691397</v>
      </c>
      <c r="H132">
        <v>2E+20</v>
      </c>
      <c r="I132">
        <v>0.38441413457674101</v>
      </c>
      <c r="J132">
        <v>1.30433954344338</v>
      </c>
      <c r="K132">
        <v>166</v>
      </c>
      <c r="L1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0.73663298998428628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0.72932422378411599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0.75206298409691397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0.337421144127524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1.3176437347714101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172.75</v>
      </c>
      <c r="W132" s="5">
        <f>IF((DiscreteStatsTable[[#This Row],[RepsRequested]]&gt;1),DiscreteStatsTable[[#This Row],[HalfWidth]],DiscreteStatsTable[[#This Row],[BatchMeansHalfWidth]])</f>
        <v>1.6864946069277815E-2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1</v>
      </c>
      <c r="D133" t="s">
        <v>100</v>
      </c>
      <c r="E133" t="s">
        <v>76</v>
      </c>
      <c r="F133" t="s">
        <v>73</v>
      </c>
      <c r="G133">
        <v>3.7603149204845701</v>
      </c>
      <c r="H133">
        <v>2E+20</v>
      </c>
      <c r="I133">
        <v>1.92207067288371</v>
      </c>
      <c r="J133">
        <v>6.5216977172169104</v>
      </c>
      <c r="K133">
        <v>166</v>
      </c>
      <c r="L1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3.6831649499214323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5.2993654728054486E-2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8.4324730346388752E-2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3.6466211189205802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3.7603149204845701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1.6871057206376201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6.5882186738570603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172.75</v>
      </c>
      <c r="W133" s="5">
        <f>IF((DiscreteStatsTable[[#This Row],[RepsRequested]]&gt;1),DiscreteStatsTable[[#This Row],[HalfWidth]],DiscreteStatsTable[[#This Row],[BatchMeansHalfWidth]])</f>
        <v>8.4324730346388752E-2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1</v>
      </c>
      <c r="D134" t="s">
        <v>100</v>
      </c>
      <c r="E134" t="s">
        <v>78</v>
      </c>
      <c r="F134" t="s">
        <v>73</v>
      </c>
      <c r="G134">
        <v>0</v>
      </c>
      <c r="H134">
        <v>2E+20</v>
      </c>
      <c r="I134">
        <v>0</v>
      </c>
      <c r="J134">
        <v>0</v>
      </c>
      <c r="K134">
        <v>166</v>
      </c>
      <c r="L1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172.75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1</v>
      </c>
      <c r="D135" t="s">
        <v>100</v>
      </c>
      <c r="E135" t="s">
        <v>79</v>
      </c>
      <c r="F135" t="s">
        <v>73</v>
      </c>
      <c r="G135">
        <v>62.075322176432202</v>
      </c>
      <c r="H135">
        <v>2E+20</v>
      </c>
      <c r="I135">
        <v>0</v>
      </c>
      <c r="J135">
        <v>123.74407368443499</v>
      </c>
      <c r="K135">
        <v>166</v>
      </c>
      <c r="L1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59.238857300044451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13.66537017752918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21.744653415905951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45.602121127105399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77.0466113697141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131.704152533165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172.75</v>
      </c>
      <c r="W135" s="5">
        <f>IF((DiscreteStatsTable[[#This Row],[RepsRequested]]&gt;1),DiscreteStatsTable[[#This Row],[HalfWidth]],DiscreteStatsTable[[#This Row],[BatchMeansHalfWidth]])</f>
        <v>21.744653415905951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</v>
      </c>
      <c r="D136" t="s">
        <v>100</v>
      </c>
      <c r="E136" t="s">
        <v>72</v>
      </c>
      <c r="F136" t="s">
        <v>73</v>
      </c>
      <c r="G136">
        <v>0.73007044278705802</v>
      </c>
      <c r="H136">
        <v>2E+20</v>
      </c>
      <c r="I136">
        <v>0.34163449516916</v>
      </c>
      <c r="J136">
        <v>1.2706092998162499</v>
      </c>
      <c r="K136">
        <v>178</v>
      </c>
      <c r="L1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0.73663298998428628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0.72932422378411599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0.75206298409691397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0.337421144127524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1.3176437347714101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172.75</v>
      </c>
      <c r="W136" s="5">
        <f>IF((DiscreteStatsTable[[#This Row],[RepsRequested]]&gt;1),DiscreteStatsTable[[#This Row],[HalfWidth]],DiscreteStatsTable[[#This Row],[BatchMeansHalfWidth]])</f>
        <v>1.6864946069277815E-2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</v>
      </c>
      <c r="D137" t="s">
        <v>100</v>
      </c>
      <c r="E137" t="s">
        <v>74</v>
      </c>
      <c r="F137" t="s">
        <v>73</v>
      </c>
      <c r="G137">
        <v>80.696963583649506</v>
      </c>
      <c r="H137">
        <v>2E+20</v>
      </c>
      <c r="I137">
        <v>5.9372084273150501</v>
      </c>
      <c r="J137">
        <v>135.44241264253401</v>
      </c>
      <c r="K137">
        <v>178</v>
      </c>
      <c r="L1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62.92202224996587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13.670044827940533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21.752091827871002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49.248742246025898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80.696963583649506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2.3495685018580499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135.44241264253401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172.75</v>
      </c>
      <c r="W137" s="5">
        <f>IF((DiscreteStatsTable[[#This Row],[RepsRequested]]&gt;1),DiscreteStatsTable[[#This Row],[HalfWidth]],DiscreteStatsTable[[#This Row],[BatchMeansHalfWidth]])</f>
        <v>21.752091827871002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</v>
      </c>
      <c r="D138" t="s">
        <v>100</v>
      </c>
      <c r="E138" t="s">
        <v>75</v>
      </c>
      <c r="F138" t="s">
        <v>73</v>
      </c>
      <c r="G138">
        <v>0.73007044278705802</v>
      </c>
      <c r="H138">
        <v>2E+20</v>
      </c>
      <c r="I138">
        <v>0.34163449516916</v>
      </c>
      <c r="J138">
        <v>1.2706092998162499</v>
      </c>
      <c r="K138">
        <v>178</v>
      </c>
      <c r="L1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0.73663298998428628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0.72932422378411599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0.75206298409691397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0.337421144127524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1.3176437347714101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172.75</v>
      </c>
      <c r="W138" s="5">
        <f>IF((DiscreteStatsTable[[#This Row],[RepsRequested]]&gt;1),DiscreteStatsTable[[#This Row],[HalfWidth]],DiscreteStatsTable[[#This Row],[BatchMeansHalfWidth]])</f>
        <v>1.6864946069277815E-2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</v>
      </c>
      <c r="D139" t="s">
        <v>100</v>
      </c>
      <c r="E139" t="s">
        <v>76</v>
      </c>
      <c r="F139" t="s">
        <v>73</v>
      </c>
      <c r="G139">
        <v>3.6503522139352902</v>
      </c>
      <c r="H139">
        <v>2E+20</v>
      </c>
      <c r="I139">
        <v>1.7081724758457999</v>
      </c>
      <c r="J139">
        <v>6.3530464990812403</v>
      </c>
      <c r="K139">
        <v>178</v>
      </c>
      <c r="L1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3.6831649499214323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5.2993654728054486E-2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8.4324730346388752E-2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3.6466211189205802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3.7603149204845701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1.6871057206376201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6.5882186738570603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172.75</v>
      </c>
      <c r="W139" s="5">
        <f>IF((DiscreteStatsTable[[#This Row],[RepsRequested]]&gt;1),DiscreteStatsTable[[#This Row],[HalfWidth]],DiscreteStatsTable[[#This Row],[BatchMeansHalfWidth]])</f>
        <v>8.4324730346388752E-2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</v>
      </c>
      <c r="D140" t="s">
        <v>100</v>
      </c>
      <c r="E140" t="s">
        <v>78</v>
      </c>
      <c r="F140" t="s">
        <v>73</v>
      </c>
      <c r="G140">
        <v>0</v>
      </c>
      <c r="H140">
        <v>2E+20</v>
      </c>
      <c r="I140">
        <v>0</v>
      </c>
      <c r="J140">
        <v>0</v>
      </c>
      <c r="K140">
        <v>178</v>
      </c>
      <c r="L1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172.75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</v>
      </c>
      <c r="D141" t="s">
        <v>100</v>
      </c>
      <c r="E141" t="s">
        <v>79</v>
      </c>
      <c r="F141" t="s">
        <v>73</v>
      </c>
      <c r="G141">
        <v>77.0466113697141</v>
      </c>
      <c r="H141">
        <v>2E+20</v>
      </c>
      <c r="I141">
        <v>0</v>
      </c>
      <c r="J141">
        <v>131.704152533165</v>
      </c>
      <c r="K141">
        <v>178</v>
      </c>
      <c r="L1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59.238857300044451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13.66537017752918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21.744653415905951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45.602121127105399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77.0466113697141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131.704152533165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172.75</v>
      </c>
      <c r="W141" s="5">
        <f>IF((DiscreteStatsTable[[#This Row],[RepsRequested]]&gt;1),DiscreteStatsTable[[#This Row],[HalfWidth]],DiscreteStatsTable[[#This Row],[BatchMeansHalfWidth]])</f>
        <v>21.744653415905951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3</v>
      </c>
      <c r="D142" t="s">
        <v>100</v>
      </c>
      <c r="E142" t="s">
        <v>72</v>
      </c>
      <c r="F142" t="s">
        <v>73</v>
      </c>
      <c r="G142">
        <v>0.73507430926905704</v>
      </c>
      <c r="H142">
        <v>2E+20</v>
      </c>
      <c r="I142">
        <v>0.337421144127524</v>
      </c>
      <c r="J142">
        <v>1.3176437347714101</v>
      </c>
      <c r="K142">
        <v>179</v>
      </c>
      <c r="L1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0.73663298998428628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0.72932422378411599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0.75206298409691397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0.337421144127524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1.3176437347714101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172.75</v>
      </c>
      <c r="W142" s="5">
        <f>IF((DiscreteStatsTable[[#This Row],[RepsRequested]]&gt;1),DiscreteStatsTable[[#This Row],[HalfWidth]],DiscreteStatsTable[[#This Row],[BatchMeansHalfWidth]])</f>
        <v>1.6864946069277815E-2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3</v>
      </c>
      <c r="D143" t="s">
        <v>100</v>
      </c>
      <c r="E143" t="s">
        <v>74</v>
      </c>
      <c r="F143" t="s">
        <v>73</v>
      </c>
      <c r="G143">
        <v>55.9067460732714</v>
      </c>
      <c r="H143">
        <v>2E+20</v>
      </c>
      <c r="I143">
        <v>2.7464005206832498</v>
      </c>
      <c r="J143">
        <v>100.130534454841</v>
      </c>
      <c r="K143">
        <v>179</v>
      </c>
      <c r="L1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62.92202224996587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13.670044827940533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21.752091827871002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49.248742246025898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80.696963583649506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2.3495685018580499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135.44241264253401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172.75</v>
      </c>
      <c r="W143" s="5">
        <f>IF((DiscreteStatsTable[[#This Row],[RepsRequested]]&gt;1),DiscreteStatsTable[[#This Row],[HalfWidth]],DiscreteStatsTable[[#This Row],[BatchMeansHalfWidth]])</f>
        <v>21.752091827871002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3</v>
      </c>
      <c r="D144" t="s">
        <v>100</v>
      </c>
      <c r="E144" t="s">
        <v>75</v>
      </c>
      <c r="F144" t="s">
        <v>73</v>
      </c>
      <c r="G144">
        <v>0.73507430926905704</v>
      </c>
      <c r="H144">
        <v>2E+20</v>
      </c>
      <c r="I144">
        <v>0.337421144127524</v>
      </c>
      <c r="J144">
        <v>1.3176437347714101</v>
      </c>
      <c r="K144">
        <v>179</v>
      </c>
      <c r="L1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0.73663298998428628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0.72932422378411599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0.75206298409691397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0.337421144127524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1.3176437347714101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172.75</v>
      </c>
      <c r="W144" s="5">
        <f>IF((DiscreteStatsTable[[#This Row],[RepsRequested]]&gt;1),DiscreteStatsTable[[#This Row],[HalfWidth]],DiscreteStatsTable[[#This Row],[BatchMeansHalfWidth]])</f>
        <v>1.6864946069277815E-2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3</v>
      </c>
      <c r="D145" t="s">
        <v>100</v>
      </c>
      <c r="E145" t="s">
        <v>76</v>
      </c>
      <c r="F145" t="s">
        <v>73</v>
      </c>
      <c r="G145">
        <v>3.6753715463452901</v>
      </c>
      <c r="H145">
        <v>2E+20</v>
      </c>
      <c r="I145">
        <v>1.6871057206376201</v>
      </c>
      <c r="J145">
        <v>6.5882186738570603</v>
      </c>
      <c r="K145">
        <v>179</v>
      </c>
      <c r="L1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3.6831649499214323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5.2993654728054486E-2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8.4324730346388752E-2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3.6466211189205802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3.7603149204845701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1.6871057206376201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6.5882186738570603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172.75</v>
      </c>
      <c r="W145" s="5">
        <f>IF((DiscreteStatsTable[[#This Row],[RepsRequested]]&gt;1),DiscreteStatsTable[[#This Row],[HalfWidth]],DiscreteStatsTable[[#This Row],[BatchMeansHalfWidth]])</f>
        <v>8.4324730346388752E-2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3</v>
      </c>
      <c r="D146" t="s">
        <v>100</v>
      </c>
      <c r="E146" t="s">
        <v>78</v>
      </c>
      <c r="F146" t="s">
        <v>73</v>
      </c>
      <c r="G146">
        <v>0</v>
      </c>
      <c r="H146">
        <v>2E+20</v>
      </c>
      <c r="I146">
        <v>0</v>
      </c>
      <c r="J146">
        <v>0</v>
      </c>
      <c r="K146">
        <v>179</v>
      </c>
      <c r="L1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172.75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3</v>
      </c>
      <c r="D147" t="s">
        <v>100</v>
      </c>
      <c r="E147" t="s">
        <v>79</v>
      </c>
      <c r="F147" t="s">
        <v>73</v>
      </c>
      <c r="G147">
        <v>52.231374526926103</v>
      </c>
      <c r="H147">
        <v>2E+20</v>
      </c>
      <c r="I147">
        <v>8.7027795286949997E-2</v>
      </c>
      <c r="J147">
        <v>96.965837152146406</v>
      </c>
      <c r="K147">
        <v>179</v>
      </c>
      <c r="L1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59.238857300044451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13.66537017752918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21.744653415905951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45.602121127105399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77.0466113697141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131.704152533165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172.75</v>
      </c>
      <c r="W147" s="5">
        <f>IF((DiscreteStatsTable[[#This Row],[RepsRequested]]&gt;1),DiscreteStatsTable[[#This Row],[HalfWidth]],DiscreteStatsTable[[#This Row],[BatchMeansHalfWidth]])</f>
        <v>21.744653415905951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4</v>
      </c>
      <c r="D148" t="s">
        <v>100</v>
      </c>
      <c r="E148" t="s">
        <v>72</v>
      </c>
      <c r="F148" t="s">
        <v>73</v>
      </c>
      <c r="G148">
        <v>0.72932422378411599</v>
      </c>
      <c r="H148">
        <v>2E+20</v>
      </c>
      <c r="I148">
        <v>0.3381454448672</v>
      </c>
      <c r="J148">
        <v>1.2058100835262</v>
      </c>
      <c r="K148">
        <v>168</v>
      </c>
      <c r="L1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0.73663298998428628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0.72932422378411599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0.75206298409691397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0.337421144127524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1.3176437347714101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172.75</v>
      </c>
      <c r="W148" s="5">
        <f>IF((DiscreteStatsTable[[#This Row],[RepsRequested]]&gt;1),DiscreteStatsTable[[#This Row],[HalfWidth]],DiscreteStatsTable[[#This Row],[BatchMeansHalfWidth]])</f>
        <v>1.6864946069277815E-2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4</v>
      </c>
      <c r="D149" t="s">
        <v>100</v>
      </c>
      <c r="E149" t="s">
        <v>74</v>
      </c>
      <c r="F149" t="s">
        <v>73</v>
      </c>
      <c r="G149">
        <v>49.248742246025898</v>
      </c>
      <c r="H149">
        <v>2E+20</v>
      </c>
      <c r="I149">
        <v>4.2916867097420202</v>
      </c>
      <c r="J149">
        <v>88.236309500409007</v>
      </c>
      <c r="K149">
        <v>168</v>
      </c>
      <c r="L1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62.92202224996587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13.670044827940533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21.752091827871002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49.248742246025898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80.696963583649506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2.3495685018580499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135.44241264253401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172.75</v>
      </c>
      <c r="W149" s="5">
        <f>IF((DiscreteStatsTable[[#This Row],[RepsRequested]]&gt;1),DiscreteStatsTable[[#This Row],[HalfWidth]],DiscreteStatsTable[[#This Row],[BatchMeansHalfWidth]])</f>
        <v>21.752091827871002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4</v>
      </c>
      <c r="D150" t="s">
        <v>100</v>
      </c>
      <c r="E150" t="s">
        <v>75</v>
      </c>
      <c r="F150" t="s">
        <v>73</v>
      </c>
      <c r="G150">
        <v>0.72932422378411599</v>
      </c>
      <c r="H150">
        <v>2E+20</v>
      </c>
      <c r="I150">
        <v>0.3381454448672</v>
      </c>
      <c r="J150">
        <v>1.2058100835262</v>
      </c>
      <c r="K150">
        <v>168</v>
      </c>
      <c r="L1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0.73663298998428628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1.0598730945610939E-2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1.6864946069277815E-2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0.72932422378411599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0.75206298409691397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0.337421144127524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1.3176437347714101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172.75</v>
      </c>
      <c r="W150" s="5">
        <f>IF((DiscreteStatsTable[[#This Row],[RepsRequested]]&gt;1),DiscreteStatsTable[[#This Row],[HalfWidth]],DiscreteStatsTable[[#This Row],[BatchMeansHalfWidth]])</f>
        <v>1.6864946069277815E-2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4</v>
      </c>
      <c r="D151" t="s">
        <v>100</v>
      </c>
      <c r="E151" t="s">
        <v>76</v>
      </c>
      <c r="F151" t="s">
        <v>73</v>
      </c>
      <c r="G151">
        <v>3.6466211189205802</v>
      </c>
      <c r="H151">
        <v>2E+20</v>
      </c>
      <c r="I151">
        <v>1.6907272243360001</v>
      </c>
      <c r="J151">
        <v>6.0290504176309998</v>
      </c>
      <c r="K151">
        <v>168</v>
      </c>
      <c r="L1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3.6831649499214323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5.2993654728054486E-2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8.4324730346388752E-2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3.6466211189205802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3.7603149204845701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1.6871057206376201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6.5882186738570603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172.75</v>
      </c>
      <c r="W151" s="5">
        <f>IF((DiscreteStatsTable[[#This Row],[RepsRequested]]&gt;1),DiscreteStatsTable[[#This Row],[HalfWidth]],DiscreteStatsTable[[#This Row],[BatchMeansHalfWidth]])</f>
        <v>8.4324730346388752E-2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4</v>
      </c>
      <c r="D152" t="s">
        <v>100</v>
      </c>
      <c r="E152" t="s">
        <v>78</v>
      </c>
      <c r="F152" t="s">
        <v>73</v>
      </c>
      <c r="G152">
        <v>0</v>
      </c>
      <c r="H152">
        <v>2E+20</v>
      </c>
      <c r="I152">
        <v>0</v>
      </c>
      <c r="J152">
        <v>0</v>
      </c>
      <c r="K152">
        <v>168</v>
      </c>
      <c r="L1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172.75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4</v>
      </c>
      <c r="D153" t="s">
        <v>100</v>
      </c>
      <c r="E153" t="s">
        <v>79</v>
      </c>
      <c r="F153" t="s">
        <v>73</v>
      </c>
      <c r="G153">
        <v>45.602121127105399</v>
      </c>
      <c r="H153">
        <v>2E+20</v>
      </c>
      <c r="I153">
        <v>0</v>
      </c>
      <c r="J153">
        <v>84.764363571029307</v>
      </c>
      <c r="K153">
        <v>168</v>
      </c>
      <c r="L1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59.238857300044451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13.66537017752918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21.744653415905951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45.602121127105399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77.0466113697141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131.704152533165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172.75</v>
      </c>
      <c r="W153" s="5">
        <f>IF((DiscreteStatsTable[[#This Row],[RepsRequested]]&gt;1),DiscreteStatsTable[[#This Row],[HalfWidth]],DiscreteStatsTable[[#This Row],[BatchMeansHalfWidth]])</f>
        <v>21.744653415905951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1</v>
      </c>
      <c r="D154" t="s">
        <v>101</v>
      </c>
      <c r="E154" t="s">
        <v>81</v>
      </c>
      <c r="F154" t="s">
        <v>82</v>
      </c>
      <c r="G154">
        <v>0</v>
      </c>
      <c r="H154">
        <v>2E+20</v>
      </c>
      <c r="I154">
        <v>0</v>
      </c>
      <c r="J154">
        <v>0</v>
      </c>
      <c r="K154">
        <v>168</v>
      </c>
      <c r="L1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173.75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1</v>
      </c>
      <c r="D155" t="s">
        <v>101</v>
      </c>
      <c r="E155" t="s">
        <v>83</v>
      </c>
      <c r="F155" t="s">
        <v>82</v>
      </c>
      <c r="G155">
        <v>62.813098326201697</v>
      </c>
      <c r="H155">
        <v>2E+20</v>
      </c>
      <c r="I155">
        <v>0</v>
      </c>
      <c r="J155">
        <v>124.299525616992</v>
      </c>
      <c r="K155">
        <v>168</v>
      </c>
      <c r="L1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59.580941993213607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13.992188557495338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22.264694388817006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45.602121127105399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77.677173992621206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133.96647926071901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173.75</v>
      </c>
      <c r="W155" s="5">
        <f>IF((DiscreteStatsTable[[#This Row],[RepsRequested]]&gt;1),DiscreteStatsTable[[#This Row],[HalfWidth]],DiscreteStatsTable[[#This Row],[BatchMeansHalfWidth]])</f>
        <v>22.264694388817006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</v>
      </c>
      <c r="D156" t="s">
        <v>101</v>
      </c>
      <c r="E156" t="s">
        <v>81</v>
      </c>
      <c r="F156" t="s">
        <v>82</v>
      </c>
      <c r="G156">
        <v>0</v>
      </c>
      <c r="H156">
        <v>2E+20</v>
      </c>
      <c r="I156">
        <v>0</v>
      </c>
      <c r="J156">
        <v>0</v>
      </c>
      <c r="K156">
        <v>180</v>
      </c>
      <c r="L1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173.75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</v>
      </c>
      <c r="D157" t="s">
        <v>101</v>
      </c>
      <c r="E157" t="s">
        <v>83</v>
      </c>
      <c r="F157" t="s">
        <v>82</v>
      </c>
      <c r="G157">
        <v>77.677173992621206</v>
      </c>
      <c r="H157">
        <v>2E+20</v>
      </c>
      <c r="I157">
        <v>0</v>
      </c>
      <c r="J157">
        <v>133.96647926071901</v>
      </c>
      <c r="K157">
        <v>180</v>
      </c>
      <c r="L1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59.580941993213607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13.992188557495338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22.264694388817006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45.602121127105399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77.677173992621206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133.96647926071901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173.75</v>
      </c>
      <c r="W157" s="5">
        <f>IF((DiscreteStatsTable[[#This Row],[RepsRequested]]&gt;1),DiscreteStatsTable[[#This Row],[HalfWidth]],DiscreteStatsTable[[#This Row],[BatchMeansHalfWidth]])</f>
        <v>22.264694388817006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3</v>
      </c>
      <c r="D158" t="s">
        <v>101</v>
      </c>
      <c r="E158" t="s">
        <v>81</v>
      </c>
      <c r="F158" t="s">
        <v>82</v>
      </c>
      <c r="G158">
        <v>0</v>
      </c>
      <c r="H158">
        <v>2E+20</v>
      </c>
      <c r="I158">
        <v>0</v>
      </c>
      <c r="J158">
        <v>0</v>
      </c>
      <c r="K158">
        <v>179</v>
      </c>
      <c r="L1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173.75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3</v>
      </c>
      <c r="D159" t="s">
        <v>101</v>
      </c>
      <c r="E159" t="s">
        <v>83</v>
      </c>
      <c r="F159" t="s">
        <v>82</v>
      </c>
      <c r="G159">
        <v>52.231374526926103</v>
      </c>
      <c r="H159">
        <v>2E+20</v>
      </c>
      <c r="I159">
        <v>8.7027795286949997E-2</v>
      </c>
      <c r="J159">
        <v>96.965837152146406</v>
      </c>
      <c r="K159">
        <v>179</v>
      </c>
      <c r="L1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59.580941993213607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13.992188557495338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22.264694388817006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45.602121127105399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77.677173992621206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133.96647926071901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173.75</v>
      </c>
      <c r="W159" s="5">
        <f>IF((DiscreteStatsTable[[#This Row],[RepsRequested]]&gt;1),DiscreteStatsTable[[#This Row],[HalfWidth]],DiscreteStatsTable[[#This Row],[BatchMeansHalfWidth]])</f>
        <v>22.264694388817006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4</v>
      </c>
      <c r="D160" t="s">
        <v>101</v>
      </c>
      <c r="E160" t="s">
        <v>81</v>
      </c>
      <c r="F160" t="s">
        <v>82</v>
      </c>
      <c r="G160">
        <v>0</v>
      </c>
      <c r="H160">
        <v>2E+20</v>
      </c>
      <c r="I160">
        <v>0</v>
      </c>
      <c r="J160">
        <v>0</v>
      </c>
      <c r="K160">
        <v>168</v>
      </c>
      <c r="L1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173.75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4</v>
      </c>
      <c r="D161" t="s">
        <v>101</v>
      </c>
      <c r="E161" t="s">
        <v>83</v>
      </c>
      <c r="F161" t="s">
        <v>82</v>
      </c>
      <c r="G161">
        <v>45.602121127105399</v>
      </c>
      <c r="H161">
        <v>2E+20</v>
      </c>
      <c r="I161">
        <v>0</v>
      </c>
      <c r="J161">
        <v>84.764363571029307</v>
      </c>
      <c r="K161">
        <v>168</v>
      </c>
      <c r="L1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59.580941993213607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13.992188557495338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22.264694388817006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45.602121127105399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77.677173992621206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133.96647926071901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173.75</v>
      </c>
      <c r="W161" s="5">
        <f>IF((DiscreteStatsTable[[#This Row],[RepsRequested]]&gt;1),DiscreteStatsTable[[#This Row],[HalfWidth]],DiscreteStatsTable[[#This Row],[BatchMeansHalfWidth]])</f>
        <v>22.264694388817006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</v>
      </c>
      <c r="Y161" s="5">
        <f>IF(DiscreteStatsTable[[#This Row],[RepsRequested]]=DiscreteStatsTable[[#This Row],[RepsWithStatObserved]],1,0)</f>
        <v>1</v>
      </c>
    </row>
  </sheetData>
  <phoneticPr fontId="2" type="noConversion"/>
  <conditionalFormatting sqref="H2:H161 Q2:Q161">
    <cfRule type="expression" dxfId="20" priority="23">
      <formula>H2=200000000000000000000</formula>
    </cfRule>
  </conditionalFormatting>
  <conditionalFormatting sqref="H2:H161">
    <cfRule type="expression" dxfId="19" priority="21">
      <formula>H2=300000000000000000000</formula>
    </cfRule>
  </conditionalFormatting>
  <conditionalFormatting sqref="L2:Y161">
    <cfRule type="expression" dxfId="18" priority="19">
      <formula>MOD(ROW(),2)=0</formula>
    </cfRule>
  </conditionalFormatting>
  <conditionalFormatting sqref="Y2:Y161">
    <cfRule type="expression" dxfId="17" priority="14">
      <formula>Y2=0</formula>
    </cfRule>
    <cfRule type="expression" dxfId="16" priority="16">
      <formula>Y2=1</formula>
    </cfRule>
  </conditionalFormatting>
  <conditionalFormatting sqref="Y3:Y161">
    <cfRule type="expression" dxfId="15" priority="15">
      <formula>Y3=1</formula>
    </cfRule>
  </conditionalFormatting>
  <conditionalFormatting sqref="W2:W16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61 W2:W16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53"/>
  <sheetViews>
    <sheetView workbookViewId="0">
      <selection activeCell="J30" sqref="J30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80</v>
      </c>
      <c r="E2" t="s">
        <v>102</v>
      </c>
      <c r="F2" t="s">
        <v>82</v>
      </c>
      <c r="G2">
        <v>34.5168149106903</v>
      </c>
      <c r="H2">
        <v>3E+20</v>
      </c>
      <c r="I2">
        <v>0</v>
      </c>
      <c r="J2">
        <v>66</v>
      </c>
      <c r="K2">
        <v>65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30.091507461772249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5.6835982633491593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9.0438731469562157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24.729699312091199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35.4658264126085</v>
      </c>
      <c r="U2">
        <f>IF((ContinuousStatsTable[[#This Row],[RepsRequested]]&gt;1),ContinuousStatsTable[[#This Row],[HalfWidth]],ContinuousStatsTable[[#This Row],[BatchMeansHalfWidth]])</f>
        <v>9.0438731469562157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103</v>
      </c>
      <c r="F3" t="s">
        <v>86</v>
      </c>
      <c r="G3">
        <v>63.828764275838203</v>
      </c>
      <c r="H3">
        <v>2E+20</v>
      </c>
      <c r="I3">
        <v>0</v>
      </c>
      <c r="J3">
        <v>129</v>
      </c>
      <c r="K3">
        <v>124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56.431991726226869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11.261998734571224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17.920353131472993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45.953353594928203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68.249957102483094</v>
      </c>
      <c r="U3">
        <f>IF((ContinuousStatsTable[[#This Row],[RepsRequested]]&gt;1),ContinuousStatsTable[[#This Row],[HalfWidth]],ContinuousStatsTable[[#This Row],[BatchMeansHalfWidth]])</f>
        <v>17.920353131472993</v>
      </c>
    </row>
    <row r="4" spans="1:21" x14ac:dyDescent="0.25">
      <c r="A4" t="s">
        <v>68</v>
      </c>
      <c r="B4" t="s">
        <v>70</v>
      </c>
      <c r="C4">
        <v>1</v>
      </c>
      <c r="D4" t="s">
        <v>99</v>
      </c>
      <c r="E4" t="s">
        <v>102</v>
      </c>
      <c r="F4" t="s">
        <v>82</v>
      </c>
      <c r="G4">
        <v>0.45842402470632099</v>
      </c>
      <c r="H4">
        <v>2E+20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AnalysisExtra Bag Check.QueueNumber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0.40679152876095698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0.22421874294044883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0.3567820550230944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0.17961938190690499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0.69598373454204898</v>
      </c>
      <c r="U4">
        <f>IF((ContinuousStatsTable[[#This Row],[RepsRequested]]&gt;1),ContinuousStatsTable[[#This Row],[HalfWidth]],ContinuousStatsTable[[#This Row],[BatchMeansHalfWidth]])</f>
        <v>0.3567820550230944</v>
      </c>
    </row>
    <row r="5" spans="1:21" x14ac:dyDescent="0.25">
      <c r="A5" t="s">
        <v>68</v>
      </c>
      <c r="B5" t="s">
        <v>70</v>
      </c>
      <c r="C5">
        <v>1</v>
      </c>
      <c r="D5" t="s">
        <v>104</v>
      </c>
      <c r="E5" t="s">
        <v>105</v>
      </c>
      <c r="F5" t="s">
        <v>106</v>
      </c>
      <c r="G5">
        <v>4.0254494526984999E-2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3.5838161698299002E-2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0.10546300457447901</v>
      </c>
      <c r="U5">
        <f>IF((ContinuousStatsTable[[#This Row],[RepsRequested]]&gt;1),ContinuousStatsTable[[#This Row],[HalfWidth]],ContinuousStatsTable[[#This Row],[BatchMeansHalfWidth]])</f>
        <v>5.0729669169258376E-2</v>
      </c>
    </row>
    <row r="6" spans="1:21" x14ac:dyDescent="0.25">
      <c r="A6" t="s">
        <v>68</v>
      </c>
      <c r="B6" t="s">
        <v>70</v>
      </c>
      <c r="C6">
        <v>1</v>
      </c>
      <c r="D6" t="s">
        <v>104</v>
      </c>
      <c r="E6" t="s">
        <v>107</v>
      </c>
      <c r="F6" t="s">
        <v>106</v>
      </c>
      <c r="G6">
        <v>4.0254494526984999E-2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3.5838161698299002E-2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0.10546300457447901</v>
      </c>
      <c r="U6">
        <f>IF((ContinuousStatsTable[[#This Row],[RepsRequested]]&gt;1),ContinuousStatsTable[[#This Row],[HalfWidth]],ContinuousStatsTable[[#This Row],[BatchMeansHalfWidth]])</f>
        <v>5.0729669169258376E-2</v>
      </c>
    </row>
    <row r="7" spans="1:21" x14ac:dyDescent="0.25">
      <c r="A7" t="s">
        <v>68</v>
      </c>
      <c r="B7" t="s">
        <v>70</v>
      </c>
      <c r="C7">
        <v>1</v>
      </c>
      <c r="D7" t="s">
        <v>104</v>
      </c>
      <c r="E7" t="s">
        <v>108</v>
      </c>
      <c r="F7" t="s">
        <v>106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109</v>
      </c>
      <c r="E8" t="s">
        <v>105</v>
      </c>
      <c r="F8" t="s">
        <v>106</v>
      </c>
      <c r="G8">
        <v>0.97220119718299103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0.98041643491842145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1.9612582685488503E-2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3.1207995652252053E-2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0.95674062773478297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0.99931211406225795</v>
      </c>
      <c r="U8">
        <f>IF((ContinuousStatsTable[[#This Row],[RepsRequested]]&gt;1),ContinuousStatsTable[[#This Row],[HalfWidth]],ContinuousStatsTable[[#This Row],[BatchMeansHalfWidth]])</f>
        <v>3.1207995652252053E-2</v>
      </c>
    </row>
    <row r="9" spans="1:21" x14ac:dyDescent="0.25">
      <c r="A9" t="s">
        <v>68</v>
      </c>
      <c r="B9" t="s">
        <v>70</v>
      </c>
      <c r="C9">
        <v>1</v>
      </c>
      <c r="D9" t="s">
        <v>109</v>
      </c>
      <c r="E9" t="s">
        <v>107</v>
      </c>
      <c r="F9" t="s">
        <v>106</v>
      </c>
      <c r="G9">
        <v>1.9444023943659801</v>
      </c>
      <c r="H9">
        <v>2E+20</v>
      </c>
      <c r="I9">
        <v>0</v>
      </c>
      <c r="J9">
        <v>2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1.9608328698368449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3.9225165370977401E-2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6.2415991304504731E-2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1.9134812554695699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1.9986242281245199</v>
      </c>
      <c r="U9">
        <f>IF((ContinuousStatsTable[[#This Row],[RepsRequested]]&gt;1),ContinuousStatsTable[[#This Row],[HalfWidth]],ContinuousStatsTable[[#This Row],[BatchMeansHalfWidth]])</f>
        <v>6.2415991304504731E-2</v>
      </c>
    </row>
    <row r="10" spans="1:21" x14ac:dyDescent="0.25">
      <c r="A10" t="s">
        <v>68</v>
      </c>
      <c r="B10" t="s">
        <v>70</v>
      </c>
      <c r="C10">
        <v>1</v>
      </c>
      <c r="D10" t="s">
        <v>109</v>
      </c>
      <c r="E10" t="s">
        <v>108</v>
      </c>
      <c r="F10" t="s">
        <v>106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1</v>
      </c>
      <c r="D11" t="s">
        <v>101</v>
      </c>
      <c r="E11" t="s">
        <v>102</v>
      </c>
      <c r="F11" t="s">
        <v>82</v>
      </c>
      <c r="G11">
        <v>26.747661230435199</v>
      </c>
      <c r="H11">
        <v>2E+20</v>
      </c>
      <c r="I11">
        <v>0</v>
      </c>
      <c r="J11">
        <v>63</v>
      </c>
      <c r="K11">
        <v>56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23.80804005307575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5.3938925447123944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8.5828867000086486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18.947311808547099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29.9246023355091</v>
      </c>
      <c r="U11">
        <f>IF((ContinuousStatsTable[[#This Row],[RepsRequested]]&gt;1),ContinuousStatsTable[[#This Row],[HalfWidth]],ContinuousStatsTable[[#This Row],[BatchMeansHalfWidth]])</f>
        <v>8.5828867000086486</v>
      </c>
    </row>
    <row r="12" spans="1:21" x14ac:dyDescent="0.25">
      <c r="A12" t="s">
        <v>68</v>
      </c>
      <c r="B12" t="s">
        <v>70</v>
      </c>
      <c r="C12">
        <v>1</v>
      </c>
      <c r="D12" t="s">
        <v>110</v>
      </c>
      <c r="E12" t="s">
        <v>105</v>
      </c>
      <c r="F12" t="s">
        <v>106</v>
      </c>
      <c r="G12">
        <v>0.58493978773938404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0.59254402897918601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2.0319404327018134E-2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3.2332706613042321E-2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0.56725217405431305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0.60915880258870903</v>
      </c>
      <c r="U12" s="5">
        <f>IF((ContinuousStatsTable[[#This Row],[RepsRequested]]&gt;1),ContinuousStatsTable[[#This Row],[HalfWidth]],ContinuousStatsTable[[#This Row],[BatchMeansHalfWidth]])</f>
        <v>3.2332706613042321E-2</v>
      </c>
    </row>
    <row r="13" spans="1:21" x14ac:dyDescent="0.25">
      <c r="A13" t="s">
        <v>68</v>
      </c>
      <c r="B13" t="s">
        <v>70</v>
      </c>
      <c r="C13">
        <v>1</v>
      </c>
      <c r="D13" t="s">
        <v>110</v>
      </c>
      <c r="E13" t="s">
        <v>107</v>
      </c>
      <c r="F13" t="s">
        <v>106</v>
      </c>
      <c r="G13">
        <v>1.1698795754787701</v>
      </c>
      <c r="H13">
        <v>2E+20</v>
      </c>
      <c r="I13">
        <v>0</v>
      </c>
      <c r="J13">
        <v>2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1.1850880579583749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4.063880865403597E-2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6.466541322608417E-2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1.1345043481086301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1.21831760517742</v>
      </c>
      <c r="U13" s="5">
        <f>IF((ContinuousStatsTable[[#This Row],[RepsRequested]]&gt;1),ContinuousStatsTable[[#This Row],[HalfWidth]],ContinuousStatsTable[[#This Row],[BatchMeansHalfWidth]])</f>
        <v>6.466541322608417E-2</v>
      </c>
    </row>
    <row r="14" spans="1:21" x14ac:dyDescent="0.25">
      <c r="A14" t="s">
        <v>68</v>
      </c>
      <c r="B14" t="s">
        <v>70</v>
      </c>
      <c r="C14">
        <v>1</v>
      </c>
      <c r="D14" t="s">
        <v>110</v>
      </c>
      <c r="E14" t="s">
        <v>108</v>
      </c>
      <c r="F14" t="s">
        <v>106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2</v>
      </c>
      <c r="D15" t="s">
        <v>80</v>
      </c>
      <c r="E15" t="s">
        <v>102</v>
      </c>
      <c r="F15" t="s">
        <v>82</v>
      </c>
      <c r="G15">
        <v>35.4658264126085</v>
      </c>
      <c r="H15">
        <v>3E+20</v>
      </c>
      <c r="I15">
        <v>0</v>
      </c>
      <c r="J15">
        <v>75</v>
      </c>
      <c r="K15">
        <v>75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30.091507461772249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5.6835982633491593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9.0438731469562157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24.729699312091199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35.4658264126085</v>
      </c>
      <c r="U15" s="5">
        <f>IF((ContinuousStatsTable[[#This Row],[RepsRequested]]&gt;1),ContinuousStatsTable[[#This Row],[HalfWidth]],ContinuousStatsTable[[#This Row],[BatchMeansHalfWidth]])</f>
        <v>9.0438731469562157</v>
      </c>
    </row>
    <row r="16" spans="1:21" x14ac:dyDescent="0.25">
      <c r="A16" t="s">
        <v>68</v>
      </c>
      <c r="B16" t="s">
        <v>70</v>
      </c>
      <c r="C16">
        <v>2</v>
      </c>
      <c r="D16" t="s">
        <v>84</v>
      </c>
      <c r="E16" t="s">
        <v>103</v>
      </c>
      <c r="F16" t="s">
        <v>86</v>
      </c>
      <c r="G16">
        <v>68.249957102483094</v>
      </c>
      <c r="H16">
        <v>2E+20</v>
      </c>
      <c r="I16">
        <v>0</v>
      </c>
      <c r="J16">
        <v>113</v>
      </c>
      <c r="K16">
        <v>110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56.431991726226869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11.261998734571224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17.920353131472993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45.953353594928203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68.249957102483094</v>
      </c>
      <c r="U16" s="5">
        <f>IF((ContinuousStatsTable[[#This Row],[RepsRequested]]&gt;1),ContinuousStatsTable[[#This Row],[HalfWidth]],ContinuousStatsTable[[#This Row],[BatchMeansHalfWidth]])</f>
        <v>17.920353131472993</v>
      </c>
    </row>
    <row r="17" spans="1:21" x14ac:dyDescent="0.25">
      <c r="A17" t="s">
        <v>68</v>
      </c>
      <c r="B17" t="s">
        <v>70</v>
      </c>
      <c r="C17">
        <v>2</v>
      </c>
      <c r="D17" t="s">
        <v>99</v>
      </c>
      <c r="E17" t="s">
        <v>102</v>
      </c>
      <c r="F17" t="s">
        <v>82</v>
      </c>
      <c r="G17">
        <v>0.69598373454204898</v>
      </c>
      <c r="H17">
        <v>2E+20</v>
      </c>
      <c r="I17">
        <v>0</v>
      </c>
      <c r="J17">
        <v>2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AnalysisExtra Bag Check.QueueNumber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0.40679152876095698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0.22421874294044883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0.3567820550230944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0.17961938190690499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0.69598373454204898</v>
      </c>
      <c r="U17" s="5">
        <f>IF((ContinuousStatsTable[[#This Row],[RepsRequested]]&gt;1),ContinuousStatsTable[[#This Row],[HalfWidth]],ContinuousStatsTable[[#This Row],[BatchMeansHalfWidth]])</f>
        <v>0.3567820550230944</v>
      </c>
    </row>
    <row r="18" spans="1:21" x14ac:dyDescent="0.25">
      <c r="A18" t="s">
        <v>68</v>
      </c>
      <c r="B18" t="s">
        <v>70</v>
      </c>
      <c r="C18">
        <v>2</v>
      </c>
      <c r="D18" t="s">
        <v>104</v>
      </c>
      <c r="E18" t="s">
        <v>105</v>
      </c>
      <c r="F18" t="s">
        <v>106</v>
      </c>
      <c r="G18">
        <v>6.4063129005636696E-2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3.5838161698299002E-2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0.10546300457447901</v>
      </c>
      <c r="U18" s="5">
        <f>IF((ContinuousStatsTable[[#This Row],[RepsRequested]]&gt;1),ContinuousStatsTable[[#This Row],[HalfWidth]],ContinuousStatsTable[[#This Row],[BatchMeansHalfWidth]])</f>
        <v>5.0729669169258376E-2</v>
      </c>
    </row>
    <row r="19" spans="1:21" x14ac:dyDescent="0.25">
      <c r="A19" t="s">
        <v>68</v>
      </c>
      <c r="B19" t="s">
        <v>70</v>
      </c>
      <c r="C19">
        <v>2</v>
      </c>
      <c r="D19" t="s">
        <v>104</v>
      </c>
      <c r="E19" t="s">
        <v>107</v>
      </c>
      <c r="F19" t="s">
        <v>106</v>
      </c>
      <c r="G19">
        <v>6.4063129005636696E-2</v>
      </c>
      <c r="H19">
        <v>2E+20</v>
      </c>
      <c r="I19">
        <v>0</v>
      </c>
      <c r="J19">
        <v>1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3.5838161698299002E-2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0.10546300457447901</v>
      </c>
      <c r="U19" s="5">
        <f>IF((ContinuousStatsTable[[#This Row],[RepsRequested]]&gt;1),ContinuousStatsTable[[#This Row],[HalfWidth]],ContinuousStatsTable[[#This Row],[BatchMeansHalfWidth]])</f>
        <v>5.0729669169258376E-2</v>
      </c>
    </row>
    <row r="20" spans="1:21" x14ac:dyDescent="0.25">
      <c r="A20" t="s">
        <v>68</v>
      </c>
      <c r="B20" t="s">
        <v>70</v>
      </c>
      <c r="C20">
        <v>2</v>
      </c>
      <c r="D20" t="s">
        <v>104</v>
      </c>
      <c r="E20" t="s">
        <v>108</v>
      </c>
      <c r="F20" t="s">
        <v>106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70</v>
      </c>
      <c r="C21">
        <v>2</v>
      </c>
      <c r="D21" t="s">
        <v>109</v>
      </c>
      <c r="E21" t="s">
        <v>105</v>
      </c>
      <c r="F21" t="s">
        <v>106</v>
      </c>
      <c r="G21">
        <v>0.99341180069365398</v>
      </c>
      <c r="H21">
        <v>2E+20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0.98041643491842145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1.9612582685488503E-2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3.1207995652252053E-2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0.95674062773478297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0.99931211406225795</v>
      </c>
      <c r="U21" s="5">
        <f>IF((ContinuousStatsTable[[#This Row],[RepsRequested]]&gt;1),ContinuousStatsTable[[#This Row],[HalfWidth]],ContinuousStatsTable[[#This Row],[BatchMeansHalfWidth]])</f>
        <v>3.1207995652252053E-2</v>
      </c>
    </row>
    <row r="22" spans="1:21" x14ac:dyDescent="0.25">
      <c r="A22" t="s">
        <v>68</v>
      </c>
      <c r="B22" t="s">
        <v>70</v>
      </c>
      <c r="C22">
        <v>2</v>
      </c>
      <c r="D22" t="s">
        <v>109</v>
      </c>
      <c r="E22" t="s">
        <v>107</v>
      </c>
      <c r="F22" t="s">
        <v>106</v>
      </c>
      <c r="G22">
        <v>1.98682360138731</v>
      </c>
      <c r="H22">
        <v>2E+20</v>
      </c>
      <c r="I22">
        <v>0</v>
      </c>
      <c r="J22">
        <v>2</v>
      </c>
      <c r="K22">
        <v>2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1.9608328698368449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3.9225165370977401E-2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6.2415991304504731E-2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1.9134812554695699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1.9986242281245199</v>
      </c>
      <c r="U22" s="5">
        <f>IF((ContinuousStatsTable[[#This Row],[RepsRequested]]&gt;1),ContinuousStatsTable[[#This Row],[HalfWidth]],ContinuousStatsTable[[#This Row],[BatchMeansHalfWidth]])</f>
        <v>6.2415991304504731E-2</v>
      </c>
    </row>
    <row r="23" spans="1:21" x14ac:dyDescent="0.25">
      <c r="A23" t="s">
        <v>68</v>
      </c>
      <c r="B23" t="s">
        <v>70</v>
      </c>
      <c r="C23">
        <v>2</v>
      </c>
      <c r="D23" t="s">
        <v>109</v>
      </c>
      <c r="E23" t="s">
        <v>108</v>
      </c>
      <c r="F23" t="s">
        <v>106</v>
      </c>
      <c r="G23">
        <v>2</v>
      </c>
      <c r="H23">
        <v>2E+20</v>
      </c>
      <c r="I23">
        <v>2</v>
      </c>
      <c r="J23">
        <v>2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2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70</v>
      </c>
      <c r="C24">
        <v>2</v>
      </c>
      <c r="D24" t="s">
        <v>101</v>
      </c>
      <c r="E24" t="s">
        <v>102</v>
      </c>
      <c r="F24" t="s">
        <v>82</v>
      </c>
      <c r="G24">
        <v>29.9246023355091</v>
      </c>
      <c r="H24">
        <v>2E+20</v>
      </c>
      <c r="I24">
        <v>0</v>
      </c>
      <c r="J24">
        <v>64</v>
      </c>
      <c r="K24">
        <v>31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23.80804005307575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5.3938925447123944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8.5828867000086486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18.947311808547099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29.9246023355091</v>
      </c>
      <c r="U24" s="5">
        <f>IF((ContinuousStatsTable[[#This Row],[RepsRequested]]&gt;1),ContinuousStatsTable[[#This Row],[HalfWidth]],ContinuousStatsTable[[#This Row],[BatchMeansHalfWidth]])</f>
        <v>8.5828867000086486</v>
      </c>
    </row>
    <row r="25" spans="1:21" x14ac:dyDescent="0.25">
      <c r="A25" t="s">
        <v>68</v>
      </c>
      <c r="B25" t="s">
        <v>70</v>
      </c>
      <c r="C25">
        <v>2</v>
      </c>
      <c r="D25" t="s">
        <v>110</v>
      </c>
      <c r="E25" t="s">
        <v>105</v>
      </c>
      <c r="F25" t="s">
        <v>106</v>
      </c>
      <c r="G25">
        <v>0.60882535153433803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0.59254402897918601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2.0319404327018134E-2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3.2332706613042321E-2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0.56725217405431305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0.60915880258870903</v>
      </c>
      <c r="U25" s="5">
        <f>IF((ContinuousStatsTable[[#This Row],[RepsRequested]]&gt;1),ContinuousStatsTable[[#This Row],[HalfWidth]],ContinuousStatsTable[[#This Row],[BatchMeansHalfWidth]])</f>
        <v>3.2332706613042321E-2</v>
      </c>
    </row>
    <row r="26" spans="1:21" x14ac:dyDescent="0.25">
      <c r="A26" t="s">
        <v>68</v>
      </c>
      <c r="B26" t="s">
        <v>70</v>
      </c>
      <c r="C26">
        <v>2</v>
      </c>
      <c r="D26" t="s">
        <v>110</v>
      </c>
      <c r="E26" t="s">
        <v>107</v>
      </c>
      <c r="F26" t="s">
        <v>106</v>
      </c>
      <c r="G26">
        <v>1.2176507030686801</v>
      </c>
      <c r="H26">
        <v>2E+20</v>
      </c>
      <c r="I26">
        <v>0</v>
      </c>
      <c r="J26">
        <v>2</v>
      </c>
      <c r="K26">
        <v>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1.1850880579583749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4.063880865403597E-2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6.466541322608417E-2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1.1345043481086301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1.21831760517742</v>
      </c>
      <c r="U26" s="5">
        <f>IF((ContinuousStatsTable[[#This Row],[RepsRequested]]&gt;1),ContinuousStatsTable[[#This Row],[HalfWidth]],ContinuousStatsTable[[#This Row],[BatchMeansHalfWidth]])</f>
        <v>6.466541322608417E-2</v>
      </c>
    </row>
    <row r="27" spans="1:21" x14ac:dyDescent="0.25">
      <c r="A27" t="s">
        <v>68</v>
      </c>
      <c r="B27" t="s">
        <v>70</v>
      </c>
      <c r="C27">
        <v>2</v>
      </c>
      <c r="D27" t="s">
        <v>110</v>
      </c>
      <c r="E27" t="s">
        <v>108</v>
      </c>
      <c r="F27" t="s">
        <v>106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3</v>
      </c>
      <c r="D28" t="s">
        <v>80</v>
      </c>
      <c r="E28" t="s">
        <v>102</v>
      </c>
      <c r="F28" t="s">
        <v>82</v>
      </c>
      <c r="G28">
        <v>25.653689211699</v>
      </c>
      <c r="H28">
        <v>3E+20</v>
      </c>
      <c r="I28">
        <v>0</v>
      </c>
      <c r="J28">
        <v>63</v>
      </c>
      <c r="K28">
        <v>60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30.091507461772249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5.6835982633491593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9.0438731469562157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24.729699312091199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35.4658264126085</v>
      </c>
      <c r="U28" s="5">
        <f>IF((ContinuousStatsTable[[#This Row],[RepsRequested]]&gt;1),ContinuousStatsTable[[#This Row],[HalfWidth]],ContinuousStatsTable[[#This Row],[BatchMeansHalfWidth]])</f>
        <v>9.0438731469562157</v>
      </c>
    </row>
    <row r="29" spans="1:21" x14ac:dyDescent="0.25">
      <c r="A29" t="s">
        <v>68</v>
      </c>
      <c r="B29" t="s">
        <v>70</v>
      </c>
      <c r="C29">
        <v>3</v>
      </c>
      <c r="D29" t="s">
        <v>84</v>
      </c>
      <c r="E29" t="s">
        <v>103</v>
      </c>
      <c r="F29" t="s">
        <v>86</v>
      </c>
      <c r="G29">
        <v>47.695891931657997</v>
      </c>
      <c r="H29">
        <v>2E+20</v>
      </c>
      <c r="I29">
        <v>0</v>
      </c>
      <c r="J29">
        <v>96</v>
      </c>
      <c r="K29">
        <v>91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56.431991726226869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11.261998734571224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17.920353131472993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45.953353594928203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68.249957102483094</v>
      </c>
      <c r="U29" s="5">
        <f>IF((ContinuousStatsTable[[#This Row],[RepsRequested]]&gt;1),ContinuousStatsTable[[#This Row],[HalfWidth]],ContinuousStatsTable[[#This Row],[BatchMeansHalfWidth]])</f>
        <v>17.920353131472993</v>
      </c>
    </row>
    <row r="30" spans="1:21" x14ac:dyDescent="0.25">
      <c r="A30" t="s">
        <v>68</v>
      </c>
      <c r="B30" t="s">
        <v>70</v>
      </c>
      <c r="C30">
        <v>3</v>
      </c>
      <c r="D30" t="s">
        <v>99</v>
      </c>
      <c r="E30" t="s">
        <v>102</v>
      </c>
      <c r="F30" t="s">
        <v>82</v>
      </c>
      <c r="G30">
        <v>0.29313897388855298</v>
      </c>
      <c r="H30">
        <v>2E+20</v>
      </c>
      <c r="I30">
        <v>0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AnalysisExtra Bag Check.QueueNumber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0.40679152876095698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0.22421874294044883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0.3567820550230944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0.17961938190690499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0.69598373454204898</v>
      </c>
      <c r="U30" s="5">
        <f>IF((ContinuousStatsTable[[#This Row],[RepsRequested]]&gt;1),ContinuousStatsTable[[#This Row],[HalfWidth]],ContinuousStatsTable[[#This Row],[BatchMeansHalfWidth]])</f>
        <v>0.3567820550230944</v>
      </c>
    </row>
    <row r="31" spans="1:21" x14ac:dyDescent="0.25">
      <c r="A31" t="s">
        <v>68</v>
      </c>
      <c r="B31" t="s">
        <v>70</v>
      </c>
      <c r="C31">
        <v>3</v>
      </c>
      <c r="D31" t="s">
        <v>104</v>
      </c>
      <c r="E31" t="s">
        <v>105</v>
      </c>
      <c r="F31" t="s">
        <v>106</v>
      </c>
      <c r="G31">
        <v>0.10546300457447901</v>
      </c>
      <c r="H31">
        <v>2E+20</v>
      </c>
      <c r="I31">
        <v>0</v>
      </c>
      <c r="J31">
        <v>1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3.5838161698299002E-2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0.10546300457447901</v>
      </c>
      <c r="U31" s="5">
        <f>IF((ContinuousStatsTable[[#This Row],[RepsRequested]]&gt;1),ContinuousStatsTable[[#This Row],[HalfWidth]],ContinuousStatsTable[[#This Row],[BatchMeansHalfWidth]])</f>
        <v>5.0729669169258376E-2</v>
      </c>
    </row>
    <row r="32" spans="1:21" x14ac:dyDescent="0.25">
      <c r="A32" t="s">
        <v>68</v>
      </c>
      <c r="B32" t="s">
        <v>70</v>
      </c>
      <c r="C32">
        <v>3</v>
      </c>
      <c r="D32" t="s">
        <v>104</v>
      </c>
      <c r="E32" t="s">
        <v>107</v>
      </c>
      <c r="F32" t="s">
        <v>106</v>
      </c>
      <c r="G32">
        <v>0.10546300457447901</v>
      </c>
      <c r="H32">
        <v>2E+20</v>
      </c>
      <c r="I32">
        <v>0</v>
      </c>
      <c r="J32">
        <v>1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3.5838161698299002E-2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0.10546300457447901</v>
      </c>
      <c r="U32" s="5">
        <f>IF((ContinuousStatsTable[[#This Row],[RepsRequested]]&gt;1),ContinuousStatsTable[[#This Row],[HalfWidth]],ContinuousStatsTable[[#This Row],[BatchMeansHalfWidth]])</f>
        <v>5.0729669169258376E-2</v>
      </c>
    </row>
    <row r="33" spans="1:21" x14ac:dyDescent="0.25">
      <c r="A33" t="s">
        <v>68</v>
      </c>
      <c r="B33" t="s">
        <v>70</v>
      </c>
      <c r="C33">
        <v>3</v>
      </c>
      <c r="D33" t="s">
        <v>104</v>
      </c>
      <c r="E33" t="s">
        <v>108</v>
      </c>
      <c r="F33" t="s">
        <v>106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109</v>
      </c>
      <c r="E34" t="s">
        <v>105</v>
      </c>
      <c r="F34" t="s">
        <v>106</v>
      </c>
      <c r="G34">
        <v>0.99931211406225795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0.98041643491842145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1.9612582685488503E-2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3.1207995652252053E-2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0.95674062773478297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0.99931211406225795</v>
      </c>
      <c r="U34" s="5">
        <f>IF((ContinuousStatsTable[[#This Row],[RepsRequested]]&gt;1),ContinuousStatsTable[[#This Row],[HalfWidth]],ContinuousStatsTable[[#This Row],[BatchMeansHalfWidth]])</f>
        <v>3.1207995652252053E-2</v>
      </c>
    </row>
    <row r="35" spans="1:21" x14ac:dyDescent="0.25">
      <c r="A35" t="s">
        <v>68</v>
      </c>
      <c r="B35" t="s">
        <v>70</v>
      </c>
      <c r="C35">
        <v>3</v>
      </c>
      <c r="D35" t="s">
        <v>109</v>
      </c>
      <c r="E35" t="s">
        <v>107</v>
      </c>
      <c r="F35" t="s">
        <v>106</v>
      </c>
      <c r="G35">
        <v>1.9986242281245199</v>
      </c>
      <c r="H35">
        <v>2E+20</v>
      </c>
      <c r="I35">
        <v>0</v>
      </c>
      <c r="J35">
        <v>2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1.9608328698368449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3.9225165370977401E-2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6.2415991304504731E-2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1.9134812554695699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1.9986242281245199</v>
      </c>
      <c r="U35" s="5">
        <f>IF((ContinuousStatsTable[[#This Row],[RepsRequested]]&gt;1),ContinuousStatsTable[[#This Row],[HalfWidth]],ContinuousStatsTable[[#This Row],[BatchMeansHalfWidth]])</f>
        <v>6.2415991304504731E-2</v>
      </c>
    </row>
    <row r="36" spans="1:21" x14ac:dyDescent="0.25">
      <c r="A36" t="s">
        <v>68</v>
      </c>
      <c r="B36" t="s">
        <v>70</v>
      </c>
      <c r="C36">
        <v>3</v>
      </c>
      <c r="D36" t="s">
        <v>109</v>
      </c>
      <c r="E36" t="s">
        <v>108</v>
      </c>
      <c r="F36" t="s">
        <v>106</v>
      </c>
      <c r="G36">
        <v>2</v>
      </c>
      <c r="H36">
        <v>2E+20</v>
      </c>
      <c r="I36">
        <v>2</v>
      </c>
      <c r="J36">
        <v>2</v>
      </c>
      <c r="K36">
        <v>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2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2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2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101</v>
      </c>
      <c r="E37" t="s">
        <v>102</v>
      </c>
      <c r="F37" t="s">
        <v>82</v>
      </c>
      <c r="G37">
        <v>19.6125848378116</v>
      </c>
      <c r="H37">
        <v>2E+20</v>
      </c>
      <c r="I37">
        <v>0</v>
      </c>
      <c r="J37">
        <v>41</v>
      </c>
      <c r="K37">
        <v>27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23.80804005307575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5.3938925447123944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8.5828867000086486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18.947311808547099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29.9246023355091</v>
      </c>
      <c r="U37" s="5">
        <f>IF((ContinuousStatsTable[[#This Row],[RepsRequested]]&gt;1),ContinuousStatsTable[[#This Row],[HalfWidth]],ContinuousStatsTable[[#This Row],[BatchMeansHalfWidth]])</f>
        <v>8.5828867000086486</v>
      </c>
    </row>
    <row r="38" spans="1:21" x14ac:dyDescent="0.25">
      <c r="A38" t="s">
        <v>68</v>
      </c>
      <c r="B38" t="s">
        <v>70</v>
      </c>
      <c r="C38">
        <v>3</v>
      </c>
      <c r="D38" t="s">
        <v>110</v>
      </c>
      <c r="E38" t="s">
        <v>105</v>
      </c>
      <c r="F38" t="s">
        <v>106</v>
      </c>
      <c r="G38">
        <v>0.60915880258870903</v>
      </c>
      <c r="H38">
        <v>2E+20</v>
      </c>
      <c r="I38">
        <v>0</v>
      </c>
      <c r="J38">
        <v>1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0.59254402897918601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2.0319404327018134E-2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3.2332706613042321E-2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0.56725217405431305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0.60915880258870903</v>
      </c>
      <c r="U38" s="5">
        <f>IF((ContinuousStatsTable[[#This Row],[RepsRequested]]&gt;1),ContinuousStatsTable[[#This Row],[HalfWidth]],ContinuousStatsTable[[#This Row],[BatchMeansHalfWidth]])</f>
        <v>3.2332706613042321E-2</v>
      </c>
    </row>
    <row r="39" spans="1:21" x14ac:dyDescent="0.25">
      <c r="A39" t="s">
        <v>68</v>
      </c>
      <c r="B39" t="s">
        <v>70</v>
      </c>
      <c r="C39">
        <v>3</v>
      </c>
      <c r="D39" t="s">
        <v>110</v>
      </c>
      <c r="E39" t="s">
        <v>107</v>
      </c>
      <c r="F39" t="s">
        <v>106</v>
      </c>
      <c r="G39">
        <v>1.21831760517742</v>
      </c>
      <c r="H39">
        <v>2E+20</v>
      </c>
      <c r="I39">
        <v>0</v>
      </c>
      <c r="J39">
        <v>2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1.1850880579583749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4.063880865403597E-2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6.466541322608417E-2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1.1345043481086301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1.21831760517742</v>
      </c>
      <c r="U39" s="5">
        <f>IF((ContinuousStatsTable[[#This Row],[RepsRequested]]&gt;1),ContinuousStatsTable[[#This Row],[HalfWidth]],ContinuousStatsTable[[#This Row],[BatchMeansHalfWidth]])</f>
        <v>6.466541322608417E-2</v>
      </c>
    </row>
    <row r="40" spans="1:21" x14ac:dyDescent="0.25">
      <c r="A40" t="s">
        <v>68</v>
      </c>
      <c r="B40" t="s">
        <v>70</v>
      </c>
      <c r="C40">
        <v>3</v>
      </c>
      <c r="D40" t="s">
        <v>110</v>
      </c>
      <c r="E40" t="s">
        <v>108</v>
      </c>
      <c r="F40" t="s">
        <v>106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4</v>
      </c>
      <c r="D41" t="s">
        <v>80</v>
      </c>
      <c r="E41" t="s">
        <v>102</v>
      </c>
      <c r="F41" t="s">
        <v>82</v>
      </c>
      <c r="G41">
        <v>24.729699312091199</v>
      </c>
      <c r="H41">
        <v>3E+20</v>
      </c>
      <c r="I41">
        <v>0</v>
      </c>
      <c r="J41">
        <v>61</v>
      </c>
      <c r="K41">
        <v>48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30.091507461772249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5.6835982633491593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9.0438731469562157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24.729699312091199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35.4658264126085</v>
      </c>
      <c r="U41" s="5">
        <f>IF((ContinuousStatsTable[[#This Row],[RepsRequested]]&gt;1),ContinuousStatsTable[[#This Row],[HalfWidth]],ContinuousStatsTable[[#This Row],[BatchMeansHalfWidth]])</f>
        <v>9.0438731469562157</v>
      </c>
    </row>
    <row r="42" spans="1:21" x14ac:dyDescent="0.25">
      <c r="A42" t="s">
        <v>68</v>
      </c>
      <c r="B42" t="s">
        <v>70</v>
      </c>
      <c r="C42">
        <v>4</v>
      </c>
      <c r="D42" t="s">
        <v>84</v>
      </c>
      <c r="E42" t="s">
        <v>103</v>
      </c>
      <c r="F42" t="s">
        <v>86</v>
      </c>
      <c r="G42">
        <v>45.953353594928203</v>
      </c>
      <c r="H42">
        <v>2E+20</v>
      </c>
      <c r="I42">
        <v>0</v>
      </c>
      <c r="J42">
        <v>106</v>
      </c>
      <c r="K42">
        <v>106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56.431991726226869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11.261998734571224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17.920353131472993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45.953353594928203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68.249957102483094</v>
      </c>
      <c r="U42" s="5">
        <f>IF((ContinuousStatsTable[[#This Row],[RepsRequested]]&gt;1),ContinuousStatsTable[[#This Row],[HalfWidth]],ContinuousStatsTable[[#This Row],[BatchMeansHalfWidth]])</f>
        <v>17.920353131472993</v>
      </c>
    </row>
    <row r="43" spans="1:21" x14ac:dyDescent="0.25">
      <c r="A43" t="s">
        <v>68</v>
      </c>
      <c r="B43" t="s">
        <v>70</v>
      </c>
      <c r="C43">
        <v>4</v>
      </c>
      <c r="D43" t="s">
        <v>99</v>
      </c>
      <c r="E43" t="s">
        <v>102</v>
      </c>
      <c r="F43" t="s">
        <v>82</v>
      </c>
      <c r="G43">
        <v>0.17961938190690499</v>
      </c>
      <c r="H43">
        <v>2E+20</v>
      </c>
      <c r="I43">
        <v>0</v>
      </c>
      <c r="J43">
        <v>1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AnalysisExtra Bag Check.QueueNumber WaitingQueue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0.40679152876095698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0.22421874294044883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0.3567820550230944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0.17961938190690499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0.69598373454204898</v>
      </c>
      <c r="U43" s="5">
        <f>IF((ContinuousStatsTable[[#This Row],[RepsRequested]]&gt;1),ContinuousStatsTable[[#This Row],[HalfWidth]],ContinuousStatsTable[[#This Row],[BatchMeansHalfWidth]])</f>
        <v>0.3567820550230944</v>
      </c>
    </row>
    <row r="44" spans="1:21" x14ac:dyDescent="0.25">
      <c r="A44" t="s">
        <v>68</v>
      </c>
      <c r="B44" t="s">
        <v>70</v>
      </c>
      <c r="C44">
        <v>4</v>
      </c>
      <c r="D44" t="s">
        <v>104</v>
      </c>
      <c r="E44" t="s">
        <v>105</v>
      </c>
      <c r="F44" t="s">
        <v>106</v>
      </c>
      <c r="G44">
        <v>3.5838161698299002E-2</v>
      </c>
      <c r="H44">
        <v>2E+20</v>
      </c>
      <c r="I44">
        <v>0</v>
      </c>
      <c r="J44">
        <v>1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3.5838161698299002E-2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0.10546300457447901</v>
      </c>
      <c r="U44" s="5">
        <f>IF((ContinuousStatsTable[[#This Row],[RepsRequested]]&gt;1),ContinuousStatsTable[[#This Row],[HalfWidth]],ContinuousStatsTable[[#This Row],[BatchMeansHalfWidth]])</f>
        <v>5.0729669169258376E-2</v>
      </c>
    </row>
    <row r="45" spans="1:21" x14ac:dyDescent="0.25">
      <c r="A45" t="s">
        <v>68</v>
      </c>
      <c r="B45" t="s">
        <v>70</v>
      </c>
      <c r="C45">
        <v>4</v>
      </c>
      <c r="D45" t="s">
        <v>104</v>
      </c>
      <c r="E45" t="s">
        <v>107</v>
      </c>
      <c r="F45" t="s">
        <v>106</v>
      </c>
      <c r="G45">
        <v>3.5838161698299002E-2</v>
      </c>
      <c r="H45">
        <v>2E+20</v>
      </c>
      <c r="I45">
        <v>0</v>
      </c>
      <c r="J45">
        <v>1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6.1404697451349924E-2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3.1880926999480634E-2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5.0729669169258376E-2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3.5838161698299002E-2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0.10546300457447901</v>
      </c>
      <c r="U45" s="5">
        <f>IF((ContinuousStatsTable[[#This Row],[RepsRequested]]&gt;1),ContinuousStatsTable[[#This Row],[HalfWidth]],ContinuousStatsTable[[#This Row],[BatchMeansHalfWidth]])</f>
        <v>5.0729669169258376E-2</v>
      </c>
    </row>
    <row r="46" spans="1:21" x14ac:dyDescent="0.25">
      <c r="A46" t="s">
        <v>68</v>
      </c>
      <c r="B46" t="s">
        <v>70</v>
      </c>
      <c r="C46">
        <v>4</v>
      </c>
      <c r="D46" t="s">
        <v>104</v>
      </c>
      <c r="E46" t="s">
        <v>108</v>
      </c>
      <c r="F46" t="s">
        <v>106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4</v>
      </c>
      <c r="D47" t="s">
        <v>109</v>
      </c>
      <c r="E47" t="s">
        <v>105</v>
      </c>
      <c r="F47" t="s">
        <v>106</v>
      </c>
      <c r="G47">
        <v>0.95674062773478297</v>
      </c>
      <c r="H47">
        <v>2E+20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0.98041643491842145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1.9612582685488503E-2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3.1207995652252053E-2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0.95674062773478297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0.99931211406225795</v>
      </c>
      <c r="U47" s="5">
        <f>IF((ContinuousStatsTable[[#This Row],[RepsRequested]]&gt;1),ContinuousStatsTable[[#This Row],[HalfWidth]],ContinuousStatsTable[[#This Row],[BatchMeansHalfWidth]])</f>
        <v>3.1207995652252053E-2</v>
      </c>
    </row>
    <row r="48" spans="1:21" x14ac:dyDescent="0.25">
      <c r="A48" t="s">
        <v>68</v>
      </c>
      <c r="B48" t="s">
        <v>70</v>
      </c>
      <c r="C48">
        <v>4</v>
      </c>
      <c r="D48" t="s">
        <v>109</v>
      </c>
      <c r="E48" t="s">
        <v>107</v>
      </c>
      <c r="F48" t="s">
        <v>106</v>
      </c>
      <c r="G48">
        <v>1.9134812554695699</v>
      </c>
      <c r="H48">
        <v>2E+20</v>
      </c>
      <c r="I48">
        <v>0</v>
      </c>
      <c r="J48">
        <v>2</v>
      </c>
      <c r="K48">
        <v>2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1.9608328698368449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3.9225165370977401E-2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6.2415991304504731E-2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1.9134812554695699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1.9986242281245199</v>
      </c>
      <c r="U48" s="5">
        <f>IF((ContinuousStatsTable[[#This Row],[RepsRequested]]&gt;1),ContinuousStatsTable[[#This Row],[HalfWidth]],ContinuousStatsTable[[#This Row],[BatchMeansHalfWidth]])</f>
        <v>6.2415991304504731E-2</v>
      </c>
    </row>
    <row r="49" spans="1:21" x14ac:dyDescent="0.25">
      <c r="A49" t="s">
        <v>68</v>
      </c>
      <c r="B49" t="s">
        <v>70</v>
      </c>
      <c r="C49">
        <v>4</v>
      </c>
      <c r="D49" t="s">
        <v>109</v>
      </c>
      <c r="E49" t="s">
        <v>108</v>
      </c>
      <c r="F49" t="s">
        <v>106</v>
      </c>
      <c r="G49">
        <v>2</v>
      </c>
      <c r="H49">
        <v>2E+20</v>
      </c>
      <c r="I49">
        <v>2</v>
      </c>
      <c r="J49">
        <v>2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2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2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101</v>
      </c>
      <c r="E50" t="s">
        <v>102</v>
      </c>
      <c r="F50" t="s">
        <v>82</v>
      </c>
      <c r="G50">
        <v>18.947311808547099</v>
      </c>
      <c r="H50">
        <v>2E+20</v>
      </c>
      <c r="I50">
        <v>0</v>
      </c>
      <c r="J50">
        <v>56</v>
      </c>
      <c r="K50">
        <v>56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23.80804005307575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5.3938925447123944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8.5828867000086486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18.947311808547099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29.9246023355091</v>
      </c>
      <c r="U50" s="5">
        <f>IF((ContinuousStatsTable[[#This Row],[RepsRequested]]&gt;1),ContinuousStatsTable[[#This Row],[HalfWidth]],ContinuousStatsTable[[#This Row],[BatchMeansHalfWidth]])</f>
        <v>8.5828867000086486</v>
      </c>
    </row>
    <row r="51" spans="1:21" x14ac:dyDescent="0.25">
      <c r="A51" t="s">
        <v>68</v>
      </c>
      <c r="B51" t="s">
        <v>70</v>
      </c>
      <c r="C51">
        <v>4</v>
      </c>
      <c r="D51" t="s">
        <v>110</v>
      </c>
      <c r="E51" t="s">
        <v>105</v>
      </c>
      <c r="F51" t="s">
        <v>106</v>
      </c>
      <c r="G51">
        <v>0.56725217405431305</v>
      </c>
      <c r="H51">
        <v>2E+20</v>
      </c>
      <c r="I51">
        <v>0</v>
      </c>
      <c r="J51">
        <v>1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0.59254402897918601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2.0319404327018134E-2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3.2332706613042321E-2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0.56725217405431305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0.60915880258870903</v>
      </c>
      <c r="U51" s="5">
        <f>IF((ContinuousStatsTable[[#This Row],[RepsRequested]]&gt;1),ContinuousStatsTable[[#This Row],[HalfWidth]],ContinuousStatsTable[[#This Row],[BatchMeansHalfWidth]])</f>
        <v>3.2332706613042321E-2</v>
      </c>
    </row>
    <row r="52" spans="1:21" x14ac:dyDescent="0.25">
      <c r="A52" t="s">
        <v>68</v>
      </c>
      <c r="B52" t="s">
        <v>70</v>
      </c>
      <c r="C52">
        <v>4</v>
      </c>
      <c r="D52" t="s">
        <v>110</v>
      </c>
      <c r="E52" t="s">
        <v>107</v>
      </c>
      <c r="F52" t="s">
        <v>106</v>
      </c>
      <c r="G52">
        <v>1.1345043481086301</v>
      </c>
      <c r="H52">
        <v>2E+20</v>
      </c>
      <c r="I52">
        <v>0</v>
      </c>
      <c r="J52">
        <v>2</v>
      </c>
      <c r="K52">
        <v>0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1.1850880579583749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4.063880865403597E-2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6.466541322608417E-2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1.1345043481086301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1.21831760517742</v>
      </c>
      <c r="U52" s="5">
        <f>IF((ContinuousStatsTable[[#This Row],[RepsRequested]]&gt;1),ContinuousStatsTable[[#This Row],[HalfWidth]],ContinuousStatsTable[[#This Row],[BatchMeansHalfWidth]])</f>
        <v>6.466541322608417E-2</v>
      </c>
    </row>
    <row r="53" spans="1:21" x14ac:dyDescent="0.25">
      <c r="A53" t="s">
        <v>68</v>
      </c>
      <c r="B53" t="s">
        <v>70</v>
      </c>
      <c r="C53">
        <v>4</v>
      </c>
      <c r="D53" t="s">
        <v>110</v>
      </c>
      <c r="E53" t="s">
        <v>108</v>
      </c>
      <c r="F53" t="s">
        <v>106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53">
    <cfRule type="expression" dxfId="11" priority="9">
      <formula>H2=200000000000000000000</formula>
    </cfRule>
  </conditionalFormatting>
  <conditionalFormatting sqref="H2:H53">
    <cfRule type="expression" dxfId="10" priority="7">
      <formula>H2=300000000000000000000</formula>
    </cfRule>
  </conditionalFormatting>
  <conditionalFormatting sqref="M2:U53">
    <cfRule type="expression" dxfId="9" priority="5">
      <formula>MOD(ROW(),2)=0</formula>
    </cfRule>
  </conditionalFormatting>
  <conditionalFormatting sqref="U2:U53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53 U2:U53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37"/>
  <sheetViews>
    <sheetView topLeftCell="C58" workbookViewId="0">
      <selection activeCell="H20" sqref="H20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111</v>
      </c>
      <c r="E2" t="s">
        <v>112</v>
      </c>
      <c r="F2" t="s">
        <v>73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4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68</v>
      </c>
      <c r="B3" t="s">
        <v>70</v>
      </c>
      <c r="C3">
        <v>1</v>
      </c>
      <c r="D3" t="s">
        <v>113</v>
      </c>
      <c r="E3" t="s">
        <v>114</v>
      </c>
      <c r="F3" t="s">
        <v>73</v>
      </c>
      <c r="G3">
        <v>87.189326445781006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4</v>
      </c>
      <c r="K3" cm="1">
        <f t="array" ref="K3">IFERROR(AVERAGE(IF((OutputTable[GroupByKey]=OutputTable[[#This Row],[GroupByKey]]),(OutputTable[GroupByKey]=OutputTable[[#This Row],[GroupByKey]])*OutputTable[RecordedValue])),0)</f>
        <v>88.003486580679507</v>
      </c>
      <c r="L3" cm="1">
        <f t="array" ref="L3">IFERROR(_xlfn.STDEV.S(IF((OutputTable[GroupByKey]=OutputTable[[#This Row],[GroupByKey]]),(OutputTable[GroupByKey]=OutputTable[[#This Row],[GroupByKey]])*OutputTable[RecordedValue])),0)</f>
        <v>10.627944107482914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3" cm="1">
        <f t="array" ref="O3">MIN(IF((OutputTable[GroupByKey]=OutputTable[[#This Row],[GroupByKey]]),(OutputTable[GroupByKey]=OutputTable[[#This Row],[GroupByKey]])*OutputTable[RecordedValue]))</f>
        <v>73.798651806292298</v>
      </c>
      <c r="P3" cm="1">
        <f t="array" ref="P3">MAX(IF((OutputTable[GroupByKey]=OutputTable[[#This Row],[GroupByKey]]),(OutputTable[GroupByKey]=OutputTable[[#This Row],[GroupByKey]])*OutputTable[RecordedValue]))</f>
        <v>98.950591933256206</v>
      </c>
    </row>
    <row r="4" spans="1:16" x14ac:dyDescent="0.25">
      <c r="A4" t="s">
        <v>68</v>
      </c>
      <c r="B4" t="s">
        <v>70</v>
      </c>
      <c r="C4">
        <v>1</v>
      </c>
      <c r="D4" t="s">
        <v>115</v>
      </c>
      <c r="E4" t="s">
        <v>116</v>
      </c>
      <c r="F4" t="s">
        <v>73</v>
      </c>
      <c r="G4">
        <v>14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4</v>
      </c>
      <c r="K4" cm="1">
        <f t="array" ref="K4">IFERROR(AVERAGE(IF((OutputTable[GroupByKey]=OutputTable[[#This Row],[GroupByKey]]),(OutputTable[GroupByKey]=OutputTable[[#This Row],[GroupByKey]])*OutputTable[RecordedValue])),0)</f>
        <v>15</v>
      </c>
      <c r="L4" cm="1">
        <f t="array" ref="L4">IFERROR(_xlfn.STDEV.S(IF((OutputTable[GroupByKey]=OutputTable[[#This Row],[GroupByKey]]),(OutputTable[GroupByKey]=OutputTable[[#This Row],[GroupByKey]])*OutputTable[RecordedValue])),0)</f>
        <v>1.8257418583505538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2.905162715754765</v>
      </c>
      <c r="O4" cm="1">
        <f t="array" ref="O4">MIN(IF((OutputTable[GroupByKey]=OutputTable[[#This Row],[GroupByKey]]),(OutputTable[GroupByKey]=OutputTable[[#This Row],[GroupByKey]])*OutputTable[RecordedValue]))</f>
        <v>13</v>
      </c>
      <c r="P4" cm="1">
        <f t="array" ref="P4">MAX(IF((OutputTable[GroupByKey]=OutputTable[[#This Row],[GroupByKey]]),(OutputTable[GroupByKey]=OutputTable[[#This Row],[GroupByKey]])*OutputTable[RecordedValue]))</f>
        <v>17</v>
      </c>
    </row>
    <row r="5" spans="1:16" x14ac:dyDescent="0.25">
      <c r="A5" t="s">
        <v>68</v>
      </c>
      <c r="B5" t="s">
        <v>70</v>
      </c>
      <c r="C5">
        <v>1</v>
      </c>
      <c r="D5" t="s">
        <v>117</v>
      </c>
      <c r="E5" t="s">
        <v>118</v>
      </c>
      <c r="F5" t="s">
        <v>73</v>
      </c>
      <c r="G5">
        <v>14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4</v>
      </c>
      <c r="K5" cm="1">
        <f t="array" ref="K5">IFERROR(AVERAGE(IF((OutputTable[GroupByKey]=OutputTable[[#This Row],[GroupByKey]]),(OutputTable[GroupByKey]=OutputTable[[#This Row],[GroupByKey]])*OutputTable[RecordedValue])),0)</f>
        <v>14.5</v>
      </c>
      <c r="L5" cm="1">
        <f t="array" ref="L5">IFERROR(_xlfn.STDEV.S(IF((OutputTable[GroupByKey]=OutputTable[[#This Row],[GroupByKey]]),(OutputTable[GroupByKey]=OutputTable[[#This Row],[GroupByKey]])*OutputTable[RecordedValue])),0)</f>
        <v>1.9148542155126762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3.0469603616576246</v>
      </c>
      <c r="O5" cm="1">
        <f t="array" ref="O5">MIN(IF((OutputTable[GroupByKey]=OutputTable[[#This Row],[GroupByKey]]),(OutputTable[GroupByKey]=OutputTable[[#This Row],[GroupByKey]])*OutputTable[RecordedValue]))</f>
        <v>12</v>
      </c>
      <c r="P5" cm="1">
        <f t="array" ref="P5">MAX(IF((OutputTable[GroupByKey]=OutputTable[[#This Row],[GroupByKey]]),(OutputTable[GroupByKey]=OutputTable[[#This Row],[GroupByKey]])*OutputTable[RecordedValue]))</f>
        <v>16</v>
      </c>
    </row>
    <row r="6" spans="1:16" x14ac:dyDescent="0.25">
      <c r="A6" t="s">
        <v>68</v>
      </c>
      <c r="B6" t="s">
        <v>70</v>
      </c>
      <c r="C6">
        <v>1</v>
      </c>
      <c r="D6" t="s">
        <v>119</v>
      </c>
      <c r="E6" t="s">
        <v>120</v>
      </c>
      <c r="F6" t="s">
        <v>73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4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25">
      <c r="A7" t="s">
        <v>68</v>
      </c>
      <c r="B7" t="s">
        <v>70</v>
      </c>
      <c r="C7">
        <v>1</v>
      </c>
      <c r="D7" t="s">
        <v>121</v>
      </c>
      <c r="E7" t="s">
        <v>122</v>
      </c>
      <c r="F7" t="s">
        <v>73</v>
      </c>
      <c r="G7">
        <v>87.189326445781006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4</v>
      </c>
      <c r="K7" cm="1">
        <f t="array" ref="K7">IFERROR(AVERAGE(IF((OutputTable[GroupByKey]=OutputTable[[#This Row],[GroupByKey]]),(OutputTable[GroupByKey]=OutputTable[[#This Row],[GroupByKey]])*OutputTable[RecordedValue])),0)</f>
        <v>88.003486580679507</v>
      </c>
      <c r="L7" cm="1">
        <f t="array" ref="L7">IFERROR(_xlfn.STDEV.S(IF((OutputTable[GroupByKey]=OutputTable[[#This Row],[GroupByKey]]),(OutputTable[GroupByKey]=OutputTable[[#This Row],[GroupByKey]])*OutputTable[RecordedValue])),0)</f>
        <v>10.627944107482914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7" cm="1">
        <f t="array" ref="O7">MIN(IF((OutputTable[GroupByKey]=OutputTable[[#This Row],[GroupByKey]]),(OutputTable[GroupByKey]=OutputTable[[#This Row],[GroupByKey]])*OutputTable[RecordedValue]))</f>
        <v>73.798651806292298</v>
      </c>
      <c r="P7" cm="1">
        <f t="array" ref="P7">MAX(IF((OutputTable[GroupByKey]=OutputTable[[#This Row],[GroupByKey]]),(OutputTable[GroupByKey]=OutputTable[[#This Row],[GroupByKey]])*OutputTable[RecordedValue]))</f>
        <v>98.950591933256206</v>
      </c>
    </row>
    <row r="8" spans="1:16" x14ac:dyDescent="0.25">
      <c r="A8" t="s">
        <v>68</v>
      </c>
      <c r="B8" t="s">
        <v>70</v>
      </c>
      <c r="C8">
        <v>1</v>
      </c>
      <c r="D8" t="s">
        <v>123</v>
      </c>
      <c r="E8" t="s">
        <v>85</v>
      </c>
      <c r="F8" t="s">
        <v>124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AnalysisAll Entities.NVACostNVA CostSystem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68</v>
      </c>
      <c r="B9" t="s">
        <v>70</v>
      </c>
      <c r="C9">
        <v>1</v>
      </c>
      <c r="D9" t="s">
        <v>125</v>
      </c>
      <c r="E9" t="s">
        <v>88</v>
      </c>
      <c r="F9" t="s">
        <v>124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AnalysisAll Entities.OtherCostOther CostSystem</v>
      </c>
      <c r="J9" cm="1">
        <f t="array" ref="J9">MAX(IF((ProjectInfoTable[ProjectName]=OutputTable[[#This Row],[ProjectName]]),(ProjectInfoTable[ProjectName]=OutputTable[[#This Row],[ProjectName]])*ProjectInfoTable[NumberOfReplications]))</f>
        <v>4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A10" t="s">
        <v>68</v>
      </c>
      <c r="B10" t="s">
        <v>70</v>
      </c>
      <c r="C10">
        <v>1</v>
      </c>
      <c r="D10" t="s">
        <v>126</v>
      </c>
      <c r="E10" t="s">
        <v>90</v>
      </c>
      <c r="F10" t="s">
        <v>124</v>
      </c>
      <c r="G10">
        <v>208.490919799907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4</v>
      </c>
      <c r="K10" cm="1">
        <f t="array" ref="K10">IFERROR(AVERAGE(IF((OutputTable[GroupByKey]=OutputTable[[#This Row],[GroupByKey]]),(OutputTable[GroupByKey]=OutputTable[[#This Row],[GroupByKey]])*OutputTable[RecordedValue])),0)</f>
        <v>210.78541398558849</v>
      </c>
      <c r="L10" cm="1">
        <f t="array" ref="L10">IFERROR(_xlfn.STDEV.S(IF((OutputTable[GroupByKey]=OutputTable[[#This Row],[GroupByKey]]),(OutputTable[GroupByKey]=OutputTable[[#This Row],[GroupByKey]])*OutputTable[RecordedValue])),0)</f>
        <v>4.3015506850385421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0" cm="1">
        <f t="array" ref="O10">MIN(IF((OutputTable[GroupByKey]=OutputTable[[#This Row],[GroupByKey]]),(OutputTable[GroupByKey]=OutputTable[[#This Row],[GroupByKey]])*OutputTable[RecordedValue]))</f>
        <v>206.05792548363399</v>
      </c>
      <c r="P10" cm="1">
        <f t="array" ref="P10">MAX(IF((OutputTable[GroupByKey]=OutputTable[[#This Row],[GroupByKey]]),(OutputTable[GroupByKey]=OutputTable[[#This Row],[GroupByKey]])*OutputTable[RecordedValue]))</f>
        <v>215.56959882430399</v>
      </c>
    </row>
    <row r="11" spans="1:16" x14ac:dyDescent="0.25">
      <c r="A11" t="s">
        <v>68</v>
      </c>
      <c r="B11" t="s">
        <v>70</v>
      </c>
      <c r="C11">
        <v>1</v>
      </c>
      <c r="D11" t="s">
        <v>127</v>
      </c>
      <c r="E11" t="s">
        <v>128</v>
      </c>
      <c r="F11" t="s">
        <v>124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Entities.TranCostTran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4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129</v>
      </c>
      <c r="E12" t="s">
        <v>94</v>
      </c>
      <c r="F12" t="s">
        <v>124</v>
      </c>
      <c r="G12">
        <v>208.490919799907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Entities.VACostVA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4</v>
      </c>
      <c r="K12" cm="1">
        <f t="array" ref="K12">IFERROR(AVERAGE(IF((OutputTable[GroupByKey]=OutputTable[[#This Row],[GroupByKey]]),(OutputTable[GroupByKey]=OutputTable[[#This Row],[GroupByKey]])*OutputTable[RecordedValue])),0)</f>
        <v>210.78541398558849</v>
      </c>
      <c r="L12" cm="1">
        <f t="array" ref="L12">IFERROR(_xlfn.STDEV.S(IF((OutputTable[GroupByKey]=OutputTable[[#This Row],[GroupByKey]]),(OutputTable[GroupByKey]=OutputTable[[#This Row],[GroupByKey]])*OutputTable[RecordedValue])),0)</f>
        <v>4.3015506850385421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2" cm="1">
        <f t="array" ref="O12">MIN(IF((OutputTable[GroupByKey]=OutputTable[[#This Row],[GroupByKey]]),(OutputTable[GroupByKey]=OutputTable[[#This Row],[GroupByKey]])*OutputTable[RecordedValue]))</f>
        <v>206.05792548363399</v>
      </c>
      <c r="P12" cm="1">
        <f t="array" ref="P12">MAX(IF((OutputTable[GroupByKey]=OutputTable[[#This Row],[GroupByKey]]),(OutputTable[GroupByKey]=OutputTable[[#This Row],[GroupByKey]])*OutputTable[RecordedValue]))</f>
        <v>215.56959882430399</v>
      </c>
    </row>
    <row r="13" spans="1:16" x14ac:dyDescent="0.25">
      <c r="A13" t="s">
        <v>68</v>
      </c>
      <c r="B13" t="s">
        <v>70</v>
      </c>
      <c r="C13">
        <v>1</v>
      </c>
      <c r="D13" t="s">
        <v>130</v>
      </c>
      <c r="E13" t="s">
        <v>96</v>
      </c>
      <c r="F13" t="s">
        <v>124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Entities.WaitCostWait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4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131</v>
      </c>
      <c r="E14" t="s">
        <v>132</v>
      </c>
      <c r="F14" t="s">
        <v>124</v>
      </c>
      <c r="G14">
        <v>208.490919799907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Resources.BusyCostBusy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4</v>
      </c>
      <c r="K14" cm="1">
        <f t="array" ref="K14">IFERROR(AVERAGE(IF((OutputTable[GroupByKey]=OutputTable[[#This Row],[GroupByKey]]),(OutputTable[GroupByKey]=OutputTable[[#This Row],[GroupByKey]])*OutputTable[RecordedValue])),0)</f>
        <v>210.78541398558849</v>
      </c>
      <c r="L14" cm="1">
        <f t="array" ref="L14">IFERROR(_xlfn.STDEV.S(IF((OutputTable[GroupByKey]=OutputTable[[#This Row],[GroupByKey]]),(OutputTable[GroupByKey]=OutputTable[[#This Row],[GroupByKey]])*OutputTable[RecordedValue])),0)</f>
        <v>4.3015506850385421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4" cm="1">
        <f t="array" ref="O14">MIN(IF((OutputTable[GroupByKey]=OutputTable[[#This Row],[GroupByKey]]),(OutputTable[GroupByKey]=OutputTable[[#This Row],[GroupByKey]])*OutputTable[RecordedValue]))</f>
        <v>206.05792548363399</v>
      </c>
      <c r="P14" cm="1">
        <f t="array" ref="P14">MAX(IF((OutputTable[GroupByKey]=OutputTable[[#This Row],[GroupByKey]]),(OutputTable[GroupByKey]=OutputTable[[#This Row],[GroupByKey]])*OutputTable[RecordedValue]))</f>
        <v>215.56959882430399</v>
      </c>
    </row>
    <row r="15" spans="1:16" x14ac:dyDescent="0.25">
      <c r="A15" t="s">
        <v>68</v>
      </c>
      <c r="B15" t="s">
        <v>70</v>
      </c>
      <c r="C15">
        <v>1</v>
      </c>
      <c r="D15" t="s">
        <v>133</v>
      </c>
      <c r="E15" t="s">
        <v>134</v>
      </c>
      <c r="F15" t="s">
        <v>124</v>
      </c>
      <c r="G15">
        <v>6.0045414084739104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</v>
      </c>
      <c r="K15" cm="1">
        <f t="array" ref="K15">IFERROR(AVERAGE(IF((OutputTable[GroupByKey]=OutputTable[[#This Row],[GroupByKey]]),(OutputTable[GroupByKey]=OutputTable[[#This Row],[GroupByKey]])*OutputTable[RecordedValue])),0)</f>
        <v>4.2300500576210318</v>
      </c>
      <c r="L15" cm="1">
        <f t="array" ref="L15">IFERROR(_xlfn.STDEV.S(IF((OutputTable[GroupByKey]=OutputTable[[#This Row],[GroupByKey]]),(OutputTable[GroupByKey]=OutputTable[[#This Row],[GroupByKey]])*OutputTable[RecordedValue])),0)</f>
        <v>4.2363178600656441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15" cm="1">
        <f t="array" ref="O15">MIN(IF((OutputTable[GroupByKey]=OutputTable[[#This Row],[GroupByKey]]),(OutputTable[GroupByKey]=OutputTable[[#This Row],[GroupByKey]])*OutputTable[RecordedValue]))</f>
        <v>0.14858336255221799</v>
      </c>
      <c r="P15" cm="1">
        <f t="array" ref="P15">MAX(IF((OutputTable[GroupByKey]=OutputTable[[#This Row],[GroupByKey]]),(OutputTable[GroupByKey]=OutputTable[[#This Row],[GroupByKey]])*OutputTable[RecordedValue]))</f>
        <v>9.34402440928719</v>
      </c>
    </row>
    <row r="16" spans="1:16" x14ac:dyDescent="0.25">
      <c r="A16" t="s">
        <v>68</v>
      </c>
      <c r="B16" t="s">
        <v>70</v>
      </c>
      <c r="C16">
        <v>1</v>
      </c>
      <c r="D16" t="s">
        <v>135</v>
      </c>
      <c r="E16" t="s">
        <v>90</v>
      </c>
      <c r="F16" t="s">
        <v>124</v>
      </c>
      <c r="G16">
        <v>214.49546120838099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4</v>
      </c>
      <c r="K16" cm="1">
        <f t="array" ref="K16">IFERROR(AVERAGE(IF((OutputTable[GroupByKey]=OutputTable[[#This Row],[GroupByKey]]),(OutputTable[GroupByKey]=OutputTable[[#This Row],[GroupByKey]])*OutputTable[RecordedValue])),0)</f>
        <v>215.01546404320951</v>
      </c>
      <c r="L16" cm="1">
        <f t="array" ref="L16">IFERROR(_xlfn.STDEV.S(IF((OutputTable[GroupByKey]=OutputTable[[#This Row],[GroupByKey]]),(OutputTable[GroupByKey]=OutputTable[[#This Row],[GroupByKey]])*OutputTable[RecordedValue])),0)</f>
        <v>0.64228161231094227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16" cm="1">
        <f t="array" ref="O16">MIN(IF((OutputTable[GroupByKey]=OutputTable[[#This Row],[GroupByKey]]),(OutputTable[GroupByKey]=OutputTable[[#This Row],[GroupByKey]])*OutputTable[RecordedValue]))</f>
        <v>214.44626288468001</v>
      </c>
      <c r="P16" cm="1">
        <f t="array" ref="P16">MAX(IF((OutputTable[GroupByKey]=OutputTable[[#This Row],[GroupByKey]]),(OutputTable[GroupByKey]=OutputTable[[#This Row],[GroupByKey]])*OutputTable[RecordedValue]))</f>
        <v>215.71818218685601</v>
      </c>
    </row>
    <row r="17" spans="1:16" x14ac:dyDescent="0.25">
      <c r="A17" t="s">
        <v>68</v>
      </c>
      <c r="B17" t="s">
        <v>70</v>
      </c>
      <c r="C17">
        <v>1</v>
      </c>
      <c r="D17" t="s">
        <v>136</v>
      </c>
      <c r="E17" t="s">
        <v>137</v>
      </c>
      <c r="F17" t="s">
        <v>124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4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25">
      <c r="A18" t="s">
        <v>68</v>
      </c>
      <c r="B18" t="s">
        <v>70</v>
      </c>
      <c r="C18">
        <v>1</v>
      </c>
      <c r="D18" t="s">
        <v>138</v>
      </c>
      <c r="E18" t="s">
        <v>112</v>
      </c>
      <c r="F18" t="s">
        <v>73</v>
      </c>
      <c r="G18">
        <v>79.3009790309046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4</v>
      </c>
      <c r="K18" cm="1">
        <f t="array" ref="K18">IFERROR(AVERAGE(IF((OutputTable[GroupByKey]=OutputTable[[#This Row],[GroupByKey]]),(OutputTable[GroupByKey]=OutputTable[[#This Row],[GroupByKey]])*OutputTable[RecordedValue])),0)</f>
        <v>76.928765378073209</v>
      </c>
      <c r="L18" cm="1">
        <f t="array" ref="L18">IFERROR(_xlfn.STDEV.S(IF((OutputTable[GroupByKey]=OutputTable[[#This Row],[GroupByKey]]),(OutputTable[GroupByKey]=OutputTable[[#This Row],[GroupByKey]])*OutputTable[RecordedValue])),0)</f>
        <v>3.2874890290420833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18" cm="1">
        <f t="array" ref="O18">MIN(IF((OutputTable[GroupByKey]=OutputTable[[#This Row],[GroupByKey]]),(OutputTable[GroupByKey]=OutputTable[[#This Row],[GroupByKey]])*OutputTable[RecordedValue]))</f>
        <v>72.601292971098701</v>
      </c>
      <c r="P18" cm="1">
        <f t="array" ref="P18">MAX(IF((OutputTable[GroupByKey]=OutputTable[[#This Row],[GroupByKey]]),(OutputTable[GroupByKey]=OutputTable[[#This Row],[GroupByKey]])*OutputTable[RecordedValue]))</f>
        <v>79.660934424486001</v>
      </c>
    </row>
    <row r="19" spans="1:16" x14ac:dyDescent="0.25">
      <c r="A19" t="s">
        <v>68</v>
      </c>
      <c r="B19" t="s">
        <v>70</v>
      </c>
      <c r="C19">
        <v>1</v>
      </c>
      <c r="D19" t="s">
        <v>139</v>
      </c>
      <c r="E19" t="s">
        <v>114</v>
      </c>
      <c r="F19" t="s">
        <v>73</v>
      </c>
      <c r="G19">
        <v>396.50489515452301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4</v>
      </c>
      <c r="K19" cm="1">
        <f t="array" ref="K19">IFERROR(AVERAGE(IF((OutputTable[GroupByKey]=OutputTable[[#This Row],[GroupByKey]]),(OutputTable[GroupByKey]=OutputTable[[#This Row],[GroupByKey]])*OutputTable[RecordedValue])),0)</f>
        <v>384.64382689036626</v>
      </c>
      <c r="L19" cm="1">
        <f t="array" ref="L19">IFERROR(_xlfn.STDEV.S(IF((OutputTable[GroupByKey]=OutputTable[[#This Row],[GroupByKey]]),(OutputTable[GroupByKey]=OutputTable[[#This Row],[GroupByKey]])*OutputTable[RecordedValue])),0)</f>
        <v>16.437445145210162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26.155643285338851</v>
      </c>
      <c r="O19" cm="1">
        <f t="array" ref="O19">MIN(IF((OutputTable[GroupByKey]=OutputTable[[#This Row],[GroupByKey]]),(OutputTable[GroupByKey]=OutputTable[[#This Row],[GroupByKey]])*OutputTable[RecordedValue]))</f>
        <v>363.00646485549402</v>
      </c>
      <c r="P19" cm="1">
        <f t="array" ref="P19">MAX(IF((OutputTable[GroupByKey]=OutputTable[[#This Row],[GroupByKey]]),(OutputTable[GroupByKey]=OutputTable[[#This Row],[GroupByKey]])*OutputTable[RecordedValue]))</f>
        <v>398.30467212243002</v>
      </c>
    </row>
    <row r="20" spans="1:16" x14ac:dyDescent="0.25">
      <c r="A20" t="s">
        <v>68</v>
      </c>
      <c r="B20" t="s">
        <v>70</v>
      </c>
      <c r="C20">
        <v>1</v>
      </c>
      <c r="D20" t="s">
        <v>140</v>
      </c>
      <c r="E20" t="s">
        <v>141</v>
      </c>
      <c r="F20" t="s">
        <v>73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4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25">
      <c r="A21" t="s">
        <v>68</v>
      </c>
      <c r="B21" t="s">
        <v>70</v>
      </c>
      <c r="C21">
        <v>1</v>
      </c>
      <c r="D21" t="s">
        <v>142</v>
      </c>
      <c r="E21" t="s">
        <v>143</v>
      </c>
      <c r="F21" t="s">
        <v>73</v>
      </c>
      <c r="G21">
        <v>14608.063145672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4</v>
      </c>
      <c r="K21" cm="1">
        <f t="array" ref="K21">IFERROR(AVERAGE(IF((OutputTable[GroupByKey]=OutputTable[[#This Row],[GroupByKey]]),(OutputTable[GroupByKey]=OutputTable[[#This Row],[GroupByKey]])*OutputTable[RecordedValue])),0)</f>
        <v>12692.581721271574</v>
      </c>
      <c r="L21" cm="1">
        <f t="array" ref="L21">IFERROR(_xlfn.STDEV.S(IF((OutputTable[GroupByKey]=OutputTable[[#This Row],[GroupByKey]]),(OutputTable[GroupByKey]=OutputTable[[#This Row],[GroupByKey]])*OutputTable[RecordedValue])),0)</f>
        <v>2222.7996146344935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3536.9702104897965</v>
      </c>
      <c r="O21" cm="1">
        <f t="array" ref="O21">MIN(IF((OutputTable[GroupByKey]=OutputTable[[#This Row],[GroupByKey]]),(OutputTable[GroupByKey]=OutputTable[[#This Row],[GroupByKey]])*OutputTable[RecordedValue]))</f>
        <v>10542.4054832944</v>
      </c>
      <c r="P21" cm="1">
        <f t="array" ref="P21">MAX(IF((OutputTable[GroupByKey]=OutputTable[[#This Row],[GroupByKey]]),(OutputTable[GroupByKey]=OutputTable[[#This Row],[GroupByKey]])*OutputTable[RecordedValue]))</f>
        <v>14613.0717473656</v>
      </c>
    </row>
    <row r="22" spans="1:16" x14ac:dyDescent="0.25">
      <c r="A22" t="s">
        <v>68</v>
      </c>
      <c r="B22" t="s">
        <v>70</v>
      </c>
      <c r="C22">
        <v>1</v>
      </c>
      <c r="D22" t="s">
        <v>144</v>
      </c>
      <c r="E22" t="s">
        <v>116</v>
      </c>
      <c r="F22" t="s">
        <v>73</v>
      </c>
      <c r="G22">
        <v>297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4</v>
      </c>
      <c r="K22" cm="1">
        <f t="array" ref="K22">IFERROR(AVERAGE(IF((OutputTable[GroupByKey]=OutputTable[[#This Row],[GroupByKey]]),(OutputTable[GroupByKey]=OutputTable[[#This Row],[GroupByKey]])*OutputTable[RecordedValue])),0)</f>
        <v>287</v>
      </c>
      <c r="L22" cm="1">
        <f t="array" ref="L22">IFERROR(_xlfn.STDEV.S(IF((OutputTable[GroupByKey]=OutputTable[[#This Row],[GroupByKey]]),(OutputTable[GroupByKey]=OutputTable[[#This Row],[GroupByKey]])*OutputTable[RecordedValue])),0)</f>
        <v>9.3452305125841235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22" cm="1">
        <f t="array" ref="O22">MIN(IF((OutputTable[GroupByKey]=OutputTable[[#This Row],[GroupByKey]]),(OutputTable[GroupByKey]=OutputTable[[#This Row],[GroupByKey]])*OutputTable[RecordedValue]))</f>
        <v>276</v>
      </c>
      <c r="P22" cm="1">
        <f t="array" ref="P22">MAX(IF((OutputTable[GroupByKey]=OutputTable[[#This Row],[GroupByKey]]),(OutputTable[GroupByKey]=OutputTable[[#This Row],[GroupByKey]])*OutputTable[RecordedValue]))</f>
        <v>297</v>
      </c>
    </row>
    <row r="23" spans="1:16" x14ac:dyDescent="0.25">
      <c r="A23" t="s">
        <v>68</v>
      </c>
      <c r="B23" t="s">
        <v>70</v>
      </c>
      <c r="C23">
        <v>1</v>
      </c>
      <c r="D23" t="s">
        <v>145</v>
      </c>
      <c r="E23" t="s">
        <v>118</v>
      </c>
      <c r="F23" t="s">
        <v>73</v>
      </c>
      <c r="G23">
        <v>232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4</v>
      </c>
      <c r="K23" cm="1">
        <f t="array" ref="K23">IFERROR(AVERAGE(IF((OutputTable[GroupByKey]=OutputTable[[#This Row],[GroupByKey]]),(OutputTable[GroupByKey]=OutputTable[[#This Row],[GroupByKey]])*OutputTable[RecordedValue])),0)</f>
        <v>224</v>
      </c>
      <c r="L23" cm="1">
        <f t="array" ref="L23">IFERROR(_xlfn.STDEV.S(IF((OutputTable[GroupByKey]=OutputTable[[#This Row],[GroupByKey]]),(OutputTable[GroupByKey]=OutputTable[[#This Row],[GroupByKey]])*OutputTable[RecordedValue])),0)</f>
        <v>9.8994949366116654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15.752305542597284</v>
      </c>
      <c r="O23" cm="1">
        <f t="array" ref="O23">MIN(IF((OutputTable[GroupByKey]=OutputTable[[#This Row],[GroupByKey]]),(OutputTable[GroupByKey]=OutputTable[[#This Row],[GroupByKey]])*OutputTable[RecordedValue]))</f>
        <v>214</v>
      </c>
      <c r="P23" cm="1">
        <f t="array" ref="P23">MAX(IF((OutputTable[GroupByKey]=OutputTable[[#This Row],[GroupByKey]]),(OutputTable[GroupByKey]=OutputTable[[#This Row],[GroupByKey]])*OutputTable[RecordedValue]))</f>
        <v>233</v>
      </c>
    </row>
    <row r="24" spans="1:16" x14ac:dyDescent="0.25">
      <c r="A24" t="s">
        <v>68</v>
      </c>
      <c r="B24" t="s">
        <v>70</v>
      </c>
      <c r="C24">
        <v>1</v>
      </c>
      <c r="D24" t="s">
        <v>146</v>
      </c>
      <c r="E24" t="s">
        <v>120</v>
      </c>
      <c r="F24" t="s">
        <v>73</v>
      </c>
      <c r="G24">
        <v>79.3009790309046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4</v>
      </c>
      <c r="K24" cm="1">
        <f t="array" ref="K24">IFERROR(AVERAGE(IF((OutputTable[GroupByKey]=OutputTable[[#This Row],[GroupByKey]]),(OutputTable[GroupByKey]=OutputTable[[#This Row],[GroupByKey]])*OutputTable[RecordedValue])),0)</f>
        <v>76.928765378073209</v>
      </c>
      <c r="L24" cm="1">
        <f t="array" ref="L24">IFERROR(_xlfn.STDEV.S(IF((OutputTable[GroupByKey]=OutputTable[[#This Row],[GroupByKey]]),(OutputTable[GroupByKey]=OutputTable[[#This Row],[GroupByKey]])*OutputTable[RecordedValue])),0)</f>
        <v>3.2874890290420833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24" cm="1">
        <f t="array" ref="O24">MIN(IF((OutputTable[GroupByKey]=OutputTable[[#This Row],[GroupByKey]]),(OutputTable[GroupByKey]=OutputTable[[#This Row],[GroupByKey]])*OutputTable[RecordedValue]))</f>
        <v>72.601292971098701</v>
      </c>
      <c r="P24" cm="1">
        <f t="array" ref="P24">MAX(IF((OutputTable[GroupByKey]=OutputTable[[#This Row],[GroupByKey]]),(OutputTable[GroupByKey]=OutputTable[[#This Row],[GroupByKey]])*OutputTable[RecordedValue]))</f>
        <v>79.660934424486001</v>
      </c>
    </row>
    <row r="25" spans="1:16" x14ac:dyDescent="0.25">
      <c r="A25" t="s">
        <v>68</v>
      </c>
      <c r="B25" t="s">
        <v>70</v>
      </c>
      <c r="C25">
        <v>1</v>
      </c>
      <c r="D25" t="s">
        <v>147</v>
      </c>
      <c r="E25" t="s">
        <v>122</v>
      </c>
      <c r="F25" t="s">
        <v>73</v>
      </c>
      <c r="G25">
        <v>15004.5680408265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4</v>
      </c>
      <c r="K25" cm="1">
        <f t="array" ref="K25">IFERROR(AVERAGE(IF((OutputTable[GroupByKey]=OutputTable[[#This Row],[GroupByKey]]),(OutputTable[GroupByKey]=OutputTable[[#This Row],[GroupByKey]])*OutputTable[RecordedValue])),0)</f>
        <v>13077.22554816195</v>
      </c>
      <c r="L25" cm="1">
        <f t="array" ref="L25">IFERROR(_xlfn.STDEV.S(IF((OutputTable[GroupByKey]=OutputTable[[#This Row],[GroupByKey]]),(OutputTable[GroupByKey]=OutputTable[[#This Row],[GroupByKey]])*OutputTable[RecordedValue])),0)</f>
        <v>2228.6642699814252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3546.3021858600991</v>
      </c>
      <c r="O25" cm="1">
        <f t="array" ref="O25">MIN(IF((OutputTable[GroupByKey]=OutputTable[[#This Row],[GroupByKey]]),(OutputTable[GroupByKey]=OutputTable[[#This Row],[GroupByKey]])*OutputTable[RecordedValue]))</f>
        <v>10905.4119481499</v>
      </c>
      <c r="P25" cm="1">
        <f t="array" ref="P25">MAX(IF((OutputTable[GroupByKey]=OutputTable[[#This Row],[GroupByKey]]),(OutputTable[GroupByKey]=OutputTable[[#This Row],[GroupByKey]])*OutputTable[RecordedValue]))</f>
        <v>15004.5680408265</v>
      </c>
    </row>
    <row r="26" spans="1:16" x14ac:dyDescent="0.25">
      <c r="A26" t="s">
        <v>68</v>
      </c>
      <c r="B26" t="s">
        <v>70</v>
      </c>
      <c r="C26">
        <v>1</v>
      </c>
      <c r="D26" t="s">
        <v>148</v>
      </c>
      <c r="E26" t="s">
        <v>116</v>
      </c>
      <c r="F26" t="s">
        <v>86</v>
      </c>
      <c r="G26">
        <v>297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AnalysisEntity 1.NumberInNumber InEntity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4</v>
      </c>
      <c r="K26" cm="1">
        <f t="array" ref="K26">IFERROR(AVERAGE(IF((OutputTable[GroupByKey]=OutputTable[[#This Row],[GroupByKey]]),(OutputTable[GroupByKey]=OutputTable[[#This Row],[GroupByKey]])*OutputTable[RecordedValue])),0)</f>
        <v>287</v>
      </c>
      <c r="L26" cm="1">
        <f t="array" ref="L26">IFERROR(_xlfn.STDEV.S(IF((OutputTable[GroupByKey]=OutputTable[[#This Row],[GroupByKey]]),(OutputTable[GroupByKey]=OutputTable[[#This Row],[GroupByKey]])*OutputTable[RecordedValue])),0)</f>
        <v>9.3452305125841235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26" cm="1">
        <f t="array" ref="O26">MIN(IF((OutputTable[GroupByKey]=OutputTable[[#This Row],[GroupByKey]]),(OutputTable[GroupByKey]=OutputTable[[#This Row],[GroupByKey]])*OutputTable[RecordedValue]))</f>
        <v>276</v>
      </c>
      <c r="P26" cm="1">
        <f t="array" ref="P26">MAX(IF((OutputTable[GroupByKey]=OutputTable[[#This Row],[GroupByKey]]),(OutputTable[GroupByKey]=OutputTable[[#This Row],[GroupByKey]])*OutputTable[RecordedValue]))</f>
        <v>297</v>
      </c>
    </row>
    <row r="27" spans="1:16" x14ac:dyDescent="0.25">
      <c r="A27" t="s">
        <v>68</v>
      </c>
      <c r="B27" t="s">
        <v>70</v>
      </c>
      <c r="C27">
        <v>1</v>
      </c>
      <c r="D27" t="s">
        <v>149</v>
      </c>
      <c r="E27" t="s">
        <v>118</v>
      </c>
      <c r="F27" t="s">
        <v>86</v>
      </c>
      <c r="G27">
        <v>173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AnalysisEntity 1.NumberOutNumber OutEntity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4</v>
      </c>
      <c r="K27" cm="1">
        <f t="array" ref="K27">IFERROR(AVERAGE(IF((OutputTable[GroupByKey]=OutputTable[[#This Row],[GroupByKey]]),(OutputTable[GroupByKey]=OutputTable[[#This Row],[GroupByKey]])*OutputTable[RecordedValue])),0)</f>
        <v>179.25</v>
      </c>
      <c r="L27" cm="1">
        <f t="array" ref="L27">IFERROR(_xlfn.STDEV.S(IF((OutputTable[GroupByKey]=OutputTable[[#This Row],[GroupByKey]]),(OutputTable[GroupByKey]=OutputTable[[#This Row],[GroupByKey]])*OutputTable[RecordedValue])),0)</f>
        <v>5.315072906367325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27" cm="1">
        <f t="array" ref="O27">MIN(IF((OutputTable[GroupByKey]=OutputTable[[#This Row],[GroupByKey]]),(OutputTable[GroupByKey]=OutputTable[[#This Row],[GroupByKey]])*OutputTable[RecordedValue]))</f>
        <v>173</v>
      </c>
      <c r="P27" cm="1">
        <f t="array" ref="P27">MAX(IF((OutputTable[GroupByKey]=OutputTable[[#This Row],[GroupByKey]]),(OutputTable[GroupByKey]=OutputTable[[#This Row],[GroupByKey]])*OutputTable[RecordedValue]))</f>
        <v>185</v>
      </c>
    </row>
    <row r="28" spans="1:16" x14ac:dyDescent="0.25">
      <c r="A28" t="s">
        <v>68</v>
      </c>
      <c r="B28" t="s">
        <v>70</v>
      </c>
      <c r="C28">
        <v>1</v>
      </c>
      <c r="D28" t="s">
        <v>150</v>
      </c>
      <c r="E28" t="s">
        <v>112</v>
      </c>
      <c r="F28" t="s">
        <v>73</v>
      </c>
      <c r="G28">
        <v>4.3474854089143804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AnalysisExtra Bag Check Accum VA CostAccum VA CostProcess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4</v>
      </c>
      <c r="K28" cm="1">
        <f t="array" ref="K28">IFERROR(AVERAGE(IF((OutputTable[GroupByKey]=OutputTable[[#This Row],[GroupByKey]]),(OutputTable[GroupByKey]=OutputTable[[#This Row],[GroupByKey]])*OutputTable[RecordedValue])),0)</f>
        <v>6.6317073247458076</v>
      </c>
      <c r="L28" cm="1">
        <f t="array" ref="L28">IFERROR(_xlfn.STDEV.S(IF((OutputTable[GroupByKey]=OutputTable[[#This Row],[GroupByKey]]),(OutputTable[GroupByKey]=OutputTable[[#This Row],[GroupByKey]])*OutputTable[RecordedValue])),0)</f>
        <v>3.4431401159439399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28" cm="1">
        <f t="array" ref="O28">MIN(IF((OutputTable[GroupByKey]=OutputTable[[#This Row],[GroupByKey]]),(OutputTable[GroupByKey]=OutputTable[[#This Row],[GroupByKey]])*OutputTable[RecordedValue]))</f>
        <v>3.8705214634162899</v>
      </c>
      <c r="P28" cm="1">
        <f t="array" ref="P28">MAX(IF((OutputTable[GroupByKey]=OutputTable[[#This Row],[GroupByKey]]),(OutputTable[GroupByKey]=OutputTable[[#This Row],[GroupByKey]])*OutputTable[RecordedValue]))</f>
        <v>11.390004494043801</v>
      </c>
    </row>
    <row r="29" spans="1:16" x14ac:dyDescent="0.25">
      <c r="A29" t="s">
        <v>68</v>
      </c>
      <c r="B29" t="s">
        <v>70</v>
      </c>
      <c r="C29">
        <v>1</v>
      </c>
      <c r="D29" t="s">
        <v>151</v>
      </c>
      <c r="E29" t="s">
        <v>114</v>
      </c>
      <c r="F29" t="s">
        <v>73</v>
      </c>
      <c r="G29">
        <v>21.737427044571898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AnalysisExtra Bag Check Accum VA TimeAccum VA TimeProcess</v>
      </c>
      <c r="J29" cm="1">
        <f t="array" ref="J29">MAX(IF((ProjectInfoTable[ProjectName]=OutputTable[[#This Row],[ProjectName]]),(ProjectInfoTable[ProjectName]=OutputTable[[#This Row],[ProjectName]])*ProjectInfoTable[NumberOfReplications]))</f>
        <v>4</v>
      </c>
      <c r="K29" cm="1">
        <f t="array" ref="K29">IFERROR(AVERAGE(IF((OutputTable[GroupByKey]=OutputTable[[#This Row],[GroupByKey]]),(OutputTable[GroupByKey]=OutputTable[[#This Row],[GroupByKey]])*OutputTable[RecordedValue])),0)</f>
        <v>33.158536623728978</v>
      </c>
      <c r="L29" cm="1">
        <f t="array" ref="L29">IFERROR(_xlfn.STDEV.S(IF((OutputTable[GroupByKey]=OutputTable[[#This Row],[GroupByKey]]),(OutputTable[GroupByKey]=OutputTable[[#This Row],[GroupByKey]])*OutputTable[RecordedValue])),0)</f>
        <v>17.21570057971962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27.394021351399644</v>
      </c>
      <c r="O29" cm="1">
        <f t="array" ref="O29">MIN(IF((OutputTable[GroupByKey]=OutputTable[[#This Row],[GroupByKey]]),(OutputTable[GroupByKey]=OutputTable[[#This Row],[GroupByKey]])*OutputTable[RecordedValue]))</f>
        <v>19.3526073170814</v>
      </c>
      <c r="P29" cm="1">
        <f t="array" ref="P29">MAX(IF((OutputTable[GroupByKey]=OutputTable[[#This Row],[GroupByKey]]),(OutputTable[GroupByKey]=OutputTable[[#This Row],[GroupByKey]])*OutputTable[RecordedValue]))</f>
        <v>56.950022470218798</v>
      </c>
    </row>
    <row r="30" spans="1:16" x14ac:dyDescent="0.25">
      <c r="A30" t="s">
        <v>68</v>
      </c>
      <c r="B30" t="s">
        <v>70</v>
      </c>
      <c r="C30">
        <v>1</v>
      </c>
      <c r="D30" t="s">
        <v>152</v>
      </c>
      <c r="E30" t="s">
        <v>141</v>
      </c>
      <c r="F30" t="s">
        <v>73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AnalysisExtra Bag Check Accum Wait CostAccum Wait CostProcess</v>
      </c>
      <c r="J30" cm="1">
        <f t="array" ref="J30">MAX(IF((ProjectInfoTable[ProjectName]=OutputTable[[#This Row],[ProjectName]]),(ProjectInfoTable[ProjectName]=OutputTable[[#This Row],[ProjectName]])*ProjectInfoTable[NumberOfReplications]))</f>
        <v>4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1</v>
      </c>
      <c r="D31" t="s">
        <v>153</v>
      </c>
      <c r="E31" t="s">
        <v>143</v>
      </c>
      <c r="F31" t="s">
        <v>73</v>
      </c>
      <c r="G31">
        <v>210.207096706388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AnalysisExtra Bag Check Accum Wait TimeAccum Wait TimeProcess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4</v>
      </c>
      <c r="K31" cm="1">
        <f t="array" ref="K31">IFERROR(AVERAGE(IF((OutputTable[GroupByKey]=OutputTable[[#This Row],[GroupByKey]]),(OutputTable[GroupByKey]=OutputTable[[#This Row],[GroupByKey]])*OutputTable[RecordedValue])),0)</f>
        <v>176.41164102787997</v>
      </c>
      <c r="L31" cm="1">
        <f t="array" ref="L31">IFERROR(_xlfn.STDEV.S(IF((OutputTable[GroupByKey]=OutputTable[[#This Row],[GroupByKey]]),(OutputTable[GroupByKey]=OutputTable[[#This Row],[GroupByKey]])*OutputTable[RecordedValue])),0)</f>
        <v>81.720013644737534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130.03477774571456</v>
      </c>
      <c r="O31" cm="1">
        <f t="array" ref="O31">MIN(IF((OutputTable[GroupByKey]=OutputTable[[#This Row],[GroupByKey]]),(OutputTable[GroupByKey]=OutputTable[[#This Row],[GroupByKey]])*OutputTable[RecordedValue]))</f>
        <v>96.9944662297289</v>
      </c>
      <c r="P31" cm="1">
        <f t="array" ref="P31">MAX(IF((OutputTable[GroupByKey]=OutputTable[[#This Row],[GroupByKey]]),(OutputTable[GroupByKey]=OutputTable[[#This Row],[GroupByKey]])*OutputTable[RecordedValue]))</f>
        <v>275.19812426113498</v>
      </c>
    </row>
    <row r="32" spans="1:16" x14ac:dyDescent="0.25">
      <c r="A32" t="s">
        <v>68</v>
      </c>
      <c r="B32" t="s">
        <v>70</v>
      </c>
      <c r="C32">
        <v>1</v>
      </c>
      <c r="D32" t="s">
        <v>154</v>
      </c>
      <c r="E32" t="s">
        <v>116</v>
      </c>
      <c r="F32" t="s">
        <v>73</v>
      </c>
      <c r="G32">
        <v>4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AnalysisExtra Bag Check Number InNumber InProcess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</v>
      </c>
      <c r="K32" s="5" cm="1">
        <f t="array" ref="K32">IFERROR(AVERAGE(IF((OutputTable[GroupByKey]=OutputTable[[#This Row],[GroupByKey]]),(OutputTable[GroupByKey]=OutputTable[[#This Row],[GroupByKey]])*OutputTable[RecordedValue])),0)</f>
        <v>3.75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1.2583057392117916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2.0022452253359253</v>
      </c>
      <c r="O32" s="5" cm="1">
        <f t="array" ref="O32">MIN(IF((OutputTable[GroupByKey]=OutputTable[[#This Row],[GroupByKey]]),(OutputTable[GroupByKey]=OutputTable[[#This Row],[GroupByKey]])*OutputTable[RecordedValue]))</f>
        <v>2</v>
      </c>
      <c r="P32" s="5" cm="1">
        <f t="array" ref="P32">MAX(IF((OutputTable[GroupByKey]=OutputTable[[#This Row],[GroupByKey]]),(OutputTable[GroupByKey]=OutputTable[[#This Row],[GroupByKey]])*OutputTable[RecordedValue]))</f>
        <v>5</v>
      </c>
    </row>
    <row r="33" spans="1:16" x14ac:dyDescent="0.25">
      <c r="A33" t="s">
        <v>68</v>
      </c>
      <c r="B33" t="s">
        <v>70</v>
      </c>
      <c r="C33">
        <v>1</v>
      </c>
      <c r="D33" t="s">
        <v>155</v>
      </c>
      <c r="E33" t="s">
        <v>118</v>
      </c>
      <c r="F33" t="s">
        <v>73</v>
      </c>
      <c r="G33">
        <v>3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AnalysisExtra Bag Check Number OutNumber OutProcess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</v>
      </c>
      <c r="K33" s="5" cm="1">
        <f t="array" ref="K33">IFERROR(AVERAGE(IF((OutputTable[GroupByKey]=OutputTable[[#This Row],[GroupByKey]]),(OutputTable[GroupByKey]=OutputTable[[#This Row],[GroupByKey]])*OutputTable[RecordedValue])),0)</f>
        <v>3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0.81649658092772603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33" s="5" cm="1">
        <f t="array" ref="O33">MIN(IF((OutputTable[GroupByKey]=OutputTable[[#This Row],[GroupByKey]]),(OutputTable[GroupByKey]=OutputTable[[#This Row],[GroupByKey]])*OutputTable[RecordedValue]))</f>
        <v>2</v>
      </c>
      <c r="P33" s="5" cm="1">
        <f t="array" ref="P33">MAX(IF((OutputTable[GroupByKey]=OutputTable[[#This Row],[GroupByKey]]),(OutputTable[GroupByKey]=OutputTable[[#This Row],[GroupByKey]])*OutputTable[RecordedValue]))</f>
        <v>4</v>
      </c>
    </row>
    <row r="34" spans="1:16" x14ac:dyDescent="0.25">
      <c r="A34" t="s">
        <v>68</v>
      </c>
      <c r="B34" t="s">
        <v>70</v>
      </c>
      <c r="C34">
        <v>1</v>
      </c>
      <c r="D34" t="s">
        <v>156</v>
      </c>
      <c r="E34" t="s">
        <v>120</v>
      </c>
      <c r="F34" t="s">
        <v>73</v>
      </c>
      <c r="G34">
        <v>4.3474854089143804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AnalysisExtra Bag Check Total Accum CostTotal Accum CostProcess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</v>
      </c>
      <c r="K34" s="5" cm="1">
        <f t="array" ref="K34">IFERROR(AVERAGE(IF((OutputTable[GroupByKey]=OutputTable[[#This Row],[GroupByKey]]),(OutputTable[GroupByKey]=OutputTable[[#This Row],[GroupByKey]])*OutputTable[RecordedValue])),0)</f>
        <v>6.6317073247458076</v>
      </c>
      <c r="L34" s="5" cm="1">
        <f t="array" ref="L34">IFERROR(_xlfn.STDEV.S(IF((OutputTable[GroupByKey]=OutputTable[[#This Row],[GroupByKey]]),(OutputTable[GroupByKey]=OutputTable[[#This Row],[GroupByKey]])*OutputTable[RecordedValue])),0)</f>
        <v>3.4431401159439399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34" s="5" cm="1">
        <f t="array" ref="O34">MIN(IF((OutputTable[GroupByKey]=OutputTable[[#This Row],[GroupByKey]]),(OutputTable[GroupByKey]=OutputTable[[#This Row],[GroupByKey]])*OutputTable[RecordedValue]))</f>
        <v>3.8705214634162899</v>
      </c>
      <c r="P34" s="5" cm="1">
        <f t="array" ref="P34">MAX(IF((OutputTable[GroupByKey]=OutputTable[[#This Row],[GroupByKey]]),(OutputTable[GroupByKey]=OutputTable[[#This Row],[GroupByKey]])*OutputTable[RecordedValue]))</f>
        <v>11.390004494043801</v>
      </c>
    </row>
    <row r="35" spans="1:16" x14ac:dyDescent="0.25">
      <c r="A35" t="s">
        <v>68</v>
      </c>
      <c r="B35" t="s">
        <v>70</v>
      </c>
      <c r="C35">
        <v>1</v>
      </c>
      <c r="D35" t="s">
        <v>157</v>
      </c>
      <c r="E35" t="s">
        <v>122</v>
      </c>
      <c r="F35" t="s">
        <v>73</v>
      </c>
      <c r="G35">
        <v>231.94452375096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AnalysisExtra Bag Check Total Accum TimeTotal Accum TimeProcess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</v>
      </c>
      <c r="K35" s="5" cm="1">
        <f t="array" ref="K35">IFERROR(AVERAGE(IF((OutputTable[GroupByKey]=OutputTable[[#This Row],[GroupByKey]]),(OutputTable[GroupByKey]=OutputTable[[#This Row],[GroupByKey]])*OutputTable[RecordedValue])),0)</f>
        <v>209.57017765160899</v>
      </c>
      <c r="L35" s="5" cm="1">
        <f t="array" ref="L35">IFERROR(_xlfn.STDEV.S(IF((OutputTable[GroupByKey]=OutputTable[[#This Row],[GroupByKey]]),(OutputTable[GroupByKey]=OutputTable[[#This Row],[GroupByKey]])*OutputTable[RecordedValue])),0)</f>
        <v>81.85027903248286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130.24205904668281</v>
      </c>
      <c r="O35" s="5" cm="1">
        <f t="array" ref="O35">MIN(IF((OutputTable[GroupByKey]=OutputTable[[#This Row],[GroupByKey]]),(OutputTable[GroupByKey]=OutputTable[[#This Row],[GroupByKey]])*OutputTable[RecordedValue]))</f>
        <v>116.34707354680999</v>
      </c>
      <c r="P35" s="5" cm="1">
        <f t="array" ref="P35">MAX(IF((OutputTable[GroupByKey]=OutputTable[[#This Row],[GroupByKey]]),(OutputTable[GroupByKey]=OutputTable[[#This Row],[GroupByKey]])*OutputTable[RecordedValue]))</f>
        <v>309.79221392417901</v>
      </c>
    </row>
    <row r="36" spans="1:16" x14ac:dyDescent="0.25">
      <c r="A36" t="s">
        <v>68</v>
      </c>
      <c r="B36" t="s">
        <v>70</v>
      </c>
      <c r="C36">
        <v>1</v>
      </c>
      <c r="D36" t="s">
        <v>158</v>
      </c>
      <c r="E36" t="s">
        <v>132</v>
      </c>
      <c r="F36" t="s">
        <v>106</v>
      </c>
      <c r="G36">
        <v>0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</v>
      </c>
      <c r="K36" s="5" cm="1">
        <f t="array" ref="K36">IFERROR(AVERAGE(IF((OutputTable[GroupByKey]=OutputTable[[#This Row],[GroupByKey]]),(OutputTable[GroupByKey]=OutputTable[[#This Row],[GroupByKey]])*OutputTable[RecordedValue])),0)</f>
        <v>0</v>
      </c>
      <c r="L36" s="5" cm="1">
        <f t="array" ref="L36">IFERROR(_xlfn.STDEV.S(IF((OutputTable[GroupByKey]=OutputTable[[#This Row],[GroupByKey]]),(OutputTable[GroupByKey]=OutputTable[[#This Row],[GroupByKey]])*OutputTable[RecordedValue])),0)</f>
        <v>0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" s="5" cm="1">
        <f t="array" ref="O36">MIN(IF((OutputTable[GroupByKey]=OutputTable[[#This Row],[GroupByKey]]),(OutputTable[GroupByKey]=OutputTable[[#This Row],[GroupByKey]])*OutputTable[RecordedValue]))</f>
        <v>0</v>
      </c>
      <c r="P36" s="5" cm="1">
        <f t="array" ref="P36">MAX(IF((OutputTable[GroupByKey]=OutputTable[[#This Row],[GroupByKey]]),(OutputTable[GroupByKey]=OutputTable[[#This Row],[GroupByKey]])*OutputTable[RecordedValue]))</f>
        <v>0</v>
      </c>
    </row>
    <row r="37" spans="1:16" x14ac:dyDescent="0.25">
      <c r="A37" t="s">
        <v>68</v>
      </c>
      <c r="B37" t="s">
        <v>70</v>
      </c>
      <c r="C37">
        <v>1</v>
      </c>
      <c r="D37" t="s">
        <v>159</v>
      </c>
      <c r="E37" t="s">
        <v>134</v>
      </c>
      <c r="F37" t="s">
        <v>106</v>
      </c>
      <c r="G37">
        <v>0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</v>
      </c>
      <c r="K37" s="5" cm="1">
        <f t="array" ref="K37">IFERROR(AVERAGE(IF((OutputTable[GroupByKey]=OutputTable[[#This Row],[GroupByKey]]),(OutputTable[GroupByKey]=OutputTable[[#This Row],[GroupByKey]])*OutputTable[RecordedValue])),0)</f>
        <v>0</v>
      </c>
      <c r="L37" s="5" cm="1">
        <f t="array" ref="L37">IFERROR(_xlfn.STDEV.S(IF((OutputTable[GroupByKey]=OutputTable[[#This Row],[GroupByKey]]),(OutputTable[GroupByKey]=OutputTable[[#This Row],[GroupByKey]])*OutputTable[RecordedValue])),0)</f>
        <v>0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" s="5" cm="1">
        <f t="array" ref="O37">MIN(IF((OutputTable[GroupByKey]=OutputTable[[#This Row],[GroupByKey]]),(OutputTable[GroupByKey]=OutputTable[[#This Row],[GroupByKey]])*OutputTable[RecordedValue]))</f>
        <v>0</v>
      </c>
      <c r="P37" s="5" cm="1">
        <f t="array" ref="P37">MAX(IF((OutputTable[GroupByKey]=OutputTable[[#This Row],[GroupByKey]]),(OutputTable[GroupByKey]=OutputTable[[#This Row],[GroupByKey]])*OutputTable[RecordedValue]))</f>
        <v>0</v>
      </c>
    </row>
    <row r="38" spans="1:16" x14ac:dyDescent="0.25">
      <c r="A38" t="s">
        <v>68</v>
      </c>
      <c r="B38" t="s">
        <v>70</v>
      </c>
      <c r="C38">
        <v>1</v>
      </c>
      <c r="D38" t="s">
        <v>160</v>
      </c>
      <c r="E38" t="s">
        <v>161</v>
      </c>
      <c r="F38" t="s">
        <v>106</v>
      </c>
      <c r="G38">
        <v>3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</v>
      </c>
      <c r="K38" s="5" cm="1">
        <f t="array" ref="K38">IFERROR(AVERAGE(IF((OutputTable[GroupByKey]=OutputTable[[#This Row],[GroupByKey]]),(OutputTable[GroupByKey]=OutputTable[[#This Row],[GroupByKey]])*OutputTable[RecordedValue])),0)</f>
        <v>3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0.81649658092772603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38" s="5" cm="1">
        <f t="array" ref="O38">MIN(IF((OutputTable[GroupByKey]=OutputTable[[#This Row],[GroupByKey]]),(OutputTable[GroupByKey]=OutputTable[[#This Row],[GroupByKey]])*OutputTable[RecordedValue]))</f>
        <v>2</v>
      </c>
      <c r="P38" s="5" cm="1">
        <f t="array" ref="P38">MAX(IF((OutputTable[GroupByKey]=OutputTable[[#This Row],[GroupByKey]]),(OutputTable[GroupByKey]=OutputTable[[#This Row],[GroupByKey]])*OutputTable[RecordedValue]))</f>
        <v>4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163</v>
      </c>
      <c r="F39" t="s">
        <v>106</v>
      </c>
      <c r="G39">
        <v>4.0254494526984999E-2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</v>
      </c>
      <c r="K39" s="5" cm="1">
        <f t="array" ref="K39">IFERROR(AVERAGE(IF((OutputTable[GroupByKey]=OutputTable[[#This Row],[GroupByKey]]),(OutputTable[GroupByKey]=OutputTable[[#This Row],[GroupByKey]])*OutputTable[RecordedValue])),0)</f>
        <v>6.1404697451349924E-2</v>
      </c>
      <c r="L39" s="5" cm="1">
        <f t="array" ref="L39">IFERROR(_xlfn.STDEV.S(IF((OutputTable[GroupByKey]=OutputTable[[#This Row],[GroupByKey]]),(OutputTable[GroupByKey]=OutputTable[[#This Row],[GroupByKey]])*OutputTable[RecordedValue])),0)</f>
        <v>3.1880926999480634E-2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5.0729669169258376E-2</v>
      </c>
      <c r="O39" s="5" cm="1">
        <f t="array" ref="O39">MIN(IF((OutputTable[GroupByKey]=OutputTable[[#This Row],[GroupByKey]]),(OutputTable[GroupByKey]=OutputTable[[#This Row],[GroupByKey]])*OutputTable[RecordedValue]))</f>
        <v>3.5838161698299002E-2</v>
      </c>
      <c r="P39" s="5" cm="1">
        <f t="array" ref="P39">MAX(IF((OutputTable[GroupByKey]=OutputTable[[#This Row],[GroupByKey]]),(OutputTable[GroupByKey]=OutputTable[[#This Row],[GroupByKey]])*OutputTable[RecordedValue]))</f>
        <v>0.10546300457447901</v>
      </c>
    </row>
    <row r="40" spans="1:16" x14ac:dyDescent="0.25">
      <c r="A40" t="s">
        <v>68</v>
      </c>
      <c r="B40" t="s">
        <v>70</v>
      </c>
      <c r="C40">
        <v>1</v>
      </c>
      <c r="D40" t="s">
        <v>164</v>
      </c>
      <c r="E40" t="s">
        <v>137</v>
      </c>
      <c r="F40" t="s">
        <v>106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</v>
      </c>
      <c r="K40" s="5" cm="1">
        <f t="array" ref="K40">IFERROR(AVERAGE(IF((OutputTable[GroupByKey]=OutputTable[[#This Row],[GroupByKey]]),(OutputTable[GroupByKey]=OutputTable[[#This Row],[GroupByKey]])*OutputTable[RecordedValue])),0)</f>
        <v>0</v>
      </c>
      <c r="L40" s="5" cm="1">
        <f t="array" ref="L40">IFERROR(_xlfn.STDEV.S(IF((OutputTable[GroupByKey]=OutputTable[[#This Row],[GroupByKey]]),(OutputTable[GroupByKey]=OutputTable[[#This Row],[GroupByKey]])*OutputTable[RecordedValue])),0)</f>
        <v>0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25">
      <c r="A41" t="s">
        <v>68</v>
      </c>
      <c r="B41" t="s">
        <v>70</v>
      </c>
      <c r="C41">
        <v>1</v>
      </c>
      <c r="D41" t="s">
        <v>165</v>
      </c>
      <c r="E41" t="s">
        <v>118</v>
      </c>
      <c r="F41" t="s">
        <v>124</v>
      </c>
      <c r="G41">
        <v>173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</v>
      </c>
      <c r="K41" s="5" cm="1">
        <f t="array" ref="K41">IFERROR(AVERAGE(IF((OutputTable[GroupByKey]=OutputTable[[#This Row],[GroupByKey]]),(OutputTable[GroupByKey]=OutputTable[[#This Row],[GroupByKey]])*OutputTable[RecordedValue])),0)</f>
        <v>179.25</v>
      </c>
      <c r="L41" s="5" cm="1">
        <f t="array" ref="L41">IFERROR(_xlfn.STDEV.S(IF((OutputTable[GroupByKey]=OutputTable[[#This Row],[GroupByKey]]),(OutputTable[GroupByKey]=OutputTable[[#This Row],[GroupByKey]])*OutputTable[RecordedValue])),0)</f>
        <v>5.315072906367325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41" s="5" cm="1">
        <f t="array" ref="O41">MIN(IF((OutputTable[GroupByKey]=OutputTable[[#This Row],[GroupByKey]]),(OutputTable[GroupByKey]=OutputTable[[#This Row],[GroupByKey]])*OutputTable[RecordedValue]))</f>
        <v>173</v>
      </c>
      <c r="P41" s="5" cm="1">
        <f t="array" ref="P41">MAX(IF((OutputTable[GroupByKey]=OutputTable[[#This Row],[GroupByKey]]),(OutputTable[GroupByKey]=OutputTable[[#This Row],[GroupByKey]])*OutputTable[RecordedValue]))</f>
        <v>185</v>
      </c>
    </row>
    <row r="42" spans="1:16" x14ac:dyDescent="0.25">
      <c r="A42" t="s">
        <v>68</v>
      </c>
      <c r="B42" t="s">
        <v>70</v>
      </c>
      <c r="C42">
        <v>1</v>
      </c>
      <c r="D42" t="s">
        <v>166</v>
      </c>
      <c r="E42" t="s">
        <v>90</v>
      </c>
      <c r="F42" t="s">
        <v>124</v>
      </c>
      <c r="G42">
        <v>214.49546120838099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</v>
      </c>
      <c r="K42" s="5" cm="1">
        <f t="array" ref="K42">IFERROR(AVERAGE(IF((OutputTable[GroupByKey]=OutputTable[[#This Row],[GroupByKey]]),(OutputTable[GroupByKey]=OutputTable[[#This Row],[GroupByKey]])*OutputTable[RecordedValue])),0)</f>
        <v>215.01546404320951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0.64228161231094227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42" s="5" cm="1">
        <f t="array" ref="O42">MIN(IF((OutputTable[GroupByKey]=OutputTable[[#This Row],[GroupByKey]]),(OutputTable[GroupByKey]=OutputTable[[#This Row],[GroupByKey]])*OutputTable[RecordedValue]))</f>
        <v>214.44626288468001</v>
      </c>
      <c r="P42" s="5" cm="1">
        <f t="array" ref="P42">MAX(IF((OutputTable[GroupByKey]=OutputTable[[#This Row],[GroupByKey]]),(OutputTable[GroupByKey]=OutputTable[[#This Row],[GroupByKey]])*OutputTable[RecordedValue]))</f>
        <v>215.71818218685601</v>
      </c>
    </row>
    <row r="43" spans="1:16" x14ac:dyDescent="0.25">
      <c r="A43" t="s">
        <v>68</v>
      </c>
      <c r="B43" t="s">
        <v>70</v>
      </c>
      <c r="C43">
        <v>1</v>
      </c>
      <c r="D43" t="s">
        <v>167</v>
      </c>
      <c r="E43" t="s">
        <v>132</v>
      </c>
      <c r="F43" t="s">
        <v>106</v>
      </c>
      <c r="G43">
        <v>208.490919799907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</v>
      </c>
      <c r="K43" s="5" cm="1">
        <f t="array" ref="K43">IFERROR(AVERAGE(IF((OutputTable[GroupByKey]=OutputTable[[#This Row],[GroupByKey]]),(OutputTable[GroupByKey]=OutputTable[[#This Row],[GroupByKey]])*OutputTable[RecordedValue])),0)</f>
        <v>210.78541398558849</v>
      </c>
      <c r="L43" s="5" cm="1">
        <f t="array" ref="L43">IFERROR(_xlfn.STDEV.S(IF((OutputTable[GroupByKey]=OutputTable[[#This Row],[GroupByKey]]),(OutputTable[GroupByKey]=OutputTable[[#This Row],[GroupByKey]])*OutputTable[RecordedValue])),0)</f>
        <v>4.3015506850385421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43" s="5" cm="1">
        <f t="array" ref="O43">MIN(IF((OutputTable[GroupByKey]=OutputTable[[#This Row],[GroupByKey]]),(OutputTable[GroupByKey]=OutputTable[[#This Row],[GroupByKey]])*OutputTable[RecordedValue]))</f>
        <v>206.05792548363399</v>
      </c>
      <c r="P43" s="5" cm="1">
        <f t="array" ref="P43">MAX(IF((OutputTable[GroupByKey]=OutputTable[[#This Row],[GroupByKey]]),(OutputTable[GroupByKey]=OutputTable[[#This Row],[GroupByKey]])*OutputTable[RecordedValue]))</f>
        <v>215.56959882430399</v>
      </c>
    </row>
    <row r="44" spans="1:16" x14ac:dyDescent="0.25">
      <c r="A44" t="s">
        <v>68</v>
      </c>
      <c r="B44" t="s">
        <v>70</v>
      </c>
      <c r="C44">
        <v>1</v>
      </c>
      <c r="D44" t="s">
        <v>168</v>
      </c>
      <c r="E44" t="s">
        <v>134</v>
      </c>
      <c r="F44" t="s">
        <v>106</v>
      </c>
      <c r="G44">
        <v>6.0045414084739104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</v>
      </c>
      <c r="K44" s="5" cm="1">
        <f t="array" ref="K44">IFERROR(AVERAGE(IF((OutputTable[GroupByKey]=OutputTable[[#This Row],[GroupByKey]]),(OutputTable[GroupByKey]=OutputTable[[#This Row],[GroupByKey]])*OutputTable[RecordedValue])),0)</f>
        <v>4.2300500576210318</v>
      </c>
      <c r="L44" s="5" cm="1">
        <f t="array" ref="L44">IFERROR(_xlfn.STDEV.S(IF((OutputTable[GroupByKey]=OutputTable[[#This Row],[GroupByKey]]),(OutputTable[GroupByKey]=OutputTable[[#This Row],[GroupByKey]])*OutputTable[RecordedValue])),0)</f>
        <v>4.2363178600656441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44" s="5" cm="1">
        <f t="array" ref="O44">MIN(IF((OutputTable[GroupByKey]=OutputTable[[#This Row],[GroupByKey]]),(OutputTable[GroupByKey]=OutputTable[[#This Row],[GroupByKey]])*OutputTable[RecordedValue]))</f>
        <v>0.14858336255221799</v>
      </c>
      <c r="P44" s="5" cm="1">
        <f t="array" ref="P44">MAX(IF((OutputTable[GroupByKey]=OutputTable[[#This Row],[GroupByKey]]),(OutputTable[GroupByKey]=OutputTable[[#This Row],[GroupByKey]])*OutputTable[RecordedValue]))</f>
        <v>9.34402440928719</v>
      </c>
    </row>
    <row r="45" spans="1:16" x14ac:dyDescent="0.25">
      <c r="A45" t="s">
        <v>68</v>
      </c>
      <c r="B45" t="s">
        <v>70</v>
      </c>
      <c r="C45">
        <v>1</v>
      </c>
      <c r="D45" t="s">
        <v>169</v>
      </c>
      <c r="E45" t="s">
        <v>161</v>
      </c>
      <c r="F45" t="s">
        <v>106</v>
      </c>
      <c r="G45">
        <v>403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</v>
      </c>
      <c r="K45" s="5" cm="1">
        <f t="array" ref="K45">IFERROR(AVERAGE(IF((OutputTable[GroupByKey]=OutputTable[[#This Row],[GroupByKey]]),(OutputTable[GroupByKey]=OutputTable[[#This Row],[GroupByKey]])*OutputTable[RecordedValue])),0)</f>
        <v>401.75</v>
      </c>
      <c r="L45" s="5" cm="1">
        <f t="array" ref="L45">IFERROR(_xlfn.STDEV.S(IF((OutputTable[GroupByKey]=OutputTable[[#This Row],[GroupByKey]]),(OutputTable[GroupByKey]=OutputTable[[#This Row],[GroupByKey]])*OutputTable[RecordedValue])),0)</f>
        <v>2.9860788111948193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4.7515177399864594</v>
      </c>
      <c r="O45" s="5" cm="1">
        <f t="array" ref="O45">MIN(IF((OutputTable[GroupByKey]=OutputTable[[#This Row],[GroupByKey]]),(OutputTable[GroupByKey]=OutputTable[[#This Row],[GroupByKey]])*OutputTable[RecordedValue]))</f>
        <v>398</v>
      </c>
      <c r="P45" s="5" cm="1">
        <f t="array" ref="P45">MAX(IF((OutputTable[GroupByKey]=OutputTable[[#This Row],[GroupByKey]]),(OutputTable[GroupByKey]=OutputTable[[#This Row],[GroupByKey]])*OutputTable[RecordedValue]))</f>
        <v>405</v>
      </c>
    </row>
    <row r="46" spans="1:16" x14ac:dyDescent="0.25">
      <c r="A46" t="s">
        <v>68</v>
      </c>
      <c r="B46" t="s">
        <v>70</v>
      </c>
      <c r="C46">
        <v>1</v>
      </c>
      <c r="D46" t="s">
        <v>170</v>
      </c>
      <c r="E46" t="s">
        <v>163</v>
      </c>
      <c r="F46" t="s">
        <v>106</v>
      </c>
      <c r="G46">
        <v>0.97220119718299103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</v>
      </c>
      <c r="K46" s="5" cm="1">
        <f t="array" ref="K46">IFERROR(AVERAGE(IF((OutputTable[GroupByKey]=OutputTable[[#This Row],[GroupByKey]]),(OutputTable[GroupByKey]=OutputTable[[#This Row],[GroupByKey]])*OutputTable[RecordedValue])),0)</f>
        <v>0.98041643491842145</v>
      </c>
      <c r="L46" s="5" cm="1">
        <f t="array" ref="L46">IFERROR(_xlfn.STDEV.S(IF((OutputTable[GroupByKey]=OutputTable[[#This Row],[GroupByKey]]),(OutputTable[GroupByKey]=OutputTable[[#This Row],[GroupByKey]])*OutputTable[RecordedValue])),0)</f>
        <v>1.9612582685488503E-2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3.1207995652252053E-2</v>
      </c>
      <c r="O46" s="5" cm="1">
        <f t="array" ref="O46">MIN(IF((OutputTable[GroupByKey]=OutputTable[[#This Row],[GroupByKey]]),(OutputTable[GroupByKey]=OutputTable[[#This Row],[GroupByKey]])*OutputTable[RecordedValue]))</f>
        <v>0.95674062773478297</v>
      </c>
      <c r="P46" s="5" cm="1">
        <f t="array" ref="P46">MAX(IF((OutputTable[GroupByKey]=OutputTable[[#This Row],[GroupByKey]]),(OutputTable[GroupByKey]=OutputTable[[#This Row],[GroupByKey]])*OutputTable[RecordedValue]))</f>
        <v>0.99931211406225795</v>
      </c>
    </row>
    <row r="47" spans="1:16" x14ac:dyDescent="0.25">
      <c r="A47" t="s">
        <v>68</v>
      </c>
      <c r="B47" t="s">
        <v>70</v>
      </c>
      <c r="C47">
        <v>1</v>
      </c>
      <c r="D47" t="s">
        <v>171</v>
      </c>
      <c r="E47" t="s">
        <v>137</v>
      </c>
      <c r="F47" t="s">
        <v>106</v>
      </c>
      <c r="G47">
        <v>0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</v>
      </c>
      <c r="K47" s="5" cm="1">
        <f t="array" ref="K47">IFERROR(AVERAGE(IF((OutputTable[GroupByKey]=OutputTable[[#This Row],[GroupByKey]]),(OutputTable[GroupByKey]=OutputTable[[#This Row],[GroupByKey]])*OutputTable[RecordedValue])),0)</f>
        <v>0</v>
      </c>
      <c r="L47" s="5" cm="1">
        <f t="array" ref="L47">IFERROR(_xlfn.STDEV.S(IF((OutputTable[GroupByKey]=OutputTable[[#This Row],[GroupByKey]]),(OutputTable[GroupByKey]=OutputTable[[#This Row],[GroupByKey]])*OutputTable[RecordedValue])),0)</f>
        <v>0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" s="5" cm="1">
        <f t="array" ref="O47">MIN(IF((OutputTable[GroupByKey]=OutputTable[[#This Row],[GroupByKey]]),(OutputTable[GroupByKey]=OutputTable[[#This Row],[GroupByKey]])*OutputTable[RecordedValue]))</f>
        <v>0</v>
      </c>
      <c r="P47" s="5" cm="1">
        <f t="array" ref="P47">MAX(IF((OutputTable[GroupByKey]=OutputTable[[#This Row],[GroupByKey]]),(OutputTable[GroupByKey]=OutputTable[[#This Row],[GroupByKey]])*OutputTable[RecordedValue]))</f>
        <v>0</v>
      </c>
    </row>
    <row r="48" spans="1:16" x14ac:dyDescent="0.25">
      <c r="A48" t="s">
        <v>68</v>
      </c>
      <c r="B48" t="s">
        <v>70</v>
      </c>
      <c r="C48">
        <v>1</v>
      </c>
      <c r="D48" t="s">
        <v>172</v>
      </c>
      <c r="E48" t="s">
        <v>112</v>
      </c>
      <c r="F48" t="s">
        <v>73</v>
      </c>
      <c r="G48">
        <v>124.842455360088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</v>
      </c>
      <c r="K48" s="5" cm="1">
        <f t="array" ref="K48">IFERROR(AVERAGE(IF((OutputTable[GroupByKey]=OutputTable[[#This Row],[GroupByKey]]),(OutputTable[GroupByKey]=OutputTable[[#This Row],[GroupByKey]])*OutputTable[RecordedValue])),0)</f>
        <v>127.224941282769</v>
      </c>
      <c r="L48" s="5" cm="1">
        <f t="array" ref="L48">IFERROR(_xlfn.STDEV.S(IF((OutputTable[GroupByKey]=OutputTable[[#This Row],[GroupByKey]]),(OutputTable[GroupByKey]=OutputTable[[#This Row],[GroupByKey]])*OutputTable[RecordedValue])),0)</f>
        <v>4.2482705353357675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48" s="5" cm="1">
        <f t="array" ref="O48">MIN(IF((OutputTable[GroupByKey]=OutputTable[[#This Row],[GroupByKey]]),(OutputTable[GroupByKey]=OutputTable[[#This Row],[GroupByKey]])*OutputTable[RecordedValue]))</f>
        <v>122.526469595731</v>
      </c>
      <c r="P48" s="5" cm="1">
        <f t="array" ref="P48">MAX(IF((OutputTable[GroupByKey]=OutputTable[[#This Row],[GroupByKey]]),(OutputTable[GroupByKey]=OutputTable[[#This Row],[GroupByKey]])*OutputTable[RecordedValue]))</f>
        <v>131.578301359161</v>
      </c>
    </row>
    <row r="49" spans="1:16" x14ac:dyDescent="0.25">
      <c r="A49" t="s">
        <v>68</v>
      </c>
      <c r="B49" t="s">
        <v>70</v>
      </c>
      <c r="C49">
        <v>1</v>
      </c>
      <c r="D49" t="s">
        <v>173</v>
      </c>
      <c r="E49" t="s">
        <v>114</v>
      </c>
      <c r="F49" t="s">
        <v>73</v>
      </c>
      <c r="G49">
        <v>624.21227680043796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</v>
      </c>
      <c r="K49" s="5" cm="1">
        <f t="array" ref="K49">IFERROR(AVERAGE(IF((OutputTable[GroupByKey]=OutputTable[[#This Row],[GroupByKey]]),(OutputTable[GroupByKey]=OutputTable[[#This Row],[GroupByKey]])*OutputTable[RecordedValue])),0)</f>
        <v>636.1247064138455</v>
      </c>
      <c r="L49" s="5" cm="1">
        <f t="array" ref="L49">IFERROR(_xlfn.STDEV.S(IF((OutputTable[GroupByKey]=OutputTable[[#This Row],[GroupByKey]]),(OutputTable[GroupByKey]=OutputTable[[#This Row],[GroupByKey]])*OutputTable[RecordedValue])),0)</f>
        <v>21.241352676679028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33.799732172562685</v>
      </c>
      <c r="O49" s="5" cm="1">
        <f t="array" ref="O49">MIN(IF((OutputTable[GroupByKey]=OutputTable[[#This Row],[GroupByKey]]),(OutputTable[GroupByKey]=OutputTable[[#This Row],[GroupByKey]])*OutputTable[RecordedValue]))</f>
        <v>612.63234797865698</v>
      </c>
      <c r="P49" s="5" cm="1">
        <f t="array" ref="P49">MAX(IF((OutputTable[GroupByKey]=OutputTable[[#This Row],[GroupByKey]]),(OutputTable[GroupByKey]=OutputTable[[#This Row],[GroupByKey]])*OutputTable[RecordedValue]))</f>
        <v>657.89150679580598</v>
      </c>
    </row>
    <row r="50" spans="1:16" x14ac:dyDescent="0.25">
      <c r="A50" t="s">
        <v>68</v>
      </c>
      <c r="B50" t="s">
        <v>70</v>
      </c>
      <c r="C50">
        <v>1</v>
      </c>
      <c r="D50" t="s">
        <v>174</v>
      </c>
      <c r="E50" t="s">
        <v>141</v>
      </c>
      <c r="F50" t="s">
        <v>73</v>
      </c>
      <c r="G50">
        <v>0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</v>
      </c>
      <c r="K50" s="5" cm="1">
        <f t="array" ref="K50">IFERROR(AVERAGE(IF((OutputTable[GroupByKey]=OutputTable[[#This Row],[GroupByKey]]),(OutputTable[GroupByKey]=OutputTable[[#This Row],[GroupByKey]])*OutputTable[RecordedValue])),0)</f>
        <v>0</v>
      </c>
      <c r="L50" s="5" cm="1">
        <f t="array" ref="L50">IFERROR(_xlfn.STDEV.S(IF((OutputTable[GroupByKey]=OutputTable[[#This Row],[GroupByKey]]),(OutputTable[GroupByKey]=OutputTable[[#This Row],[GroupByKey]])*OutputTable[RecordedValue])),0)</f>
        <v>0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" s="5" cm="1">
        <f t="array" ref="O50">MIN(IF((OutputTable[GroupByKey]=OutputTable[[#This Row],[GroupByKey]]),(OutputTable[GroupByKey]=OutputTable[[#This Row],[GroupByKey]])*OutputTable[RecordedValue]))</f>
        <v>0</v>
      </c>
      <c r="P50" s="5" cm="1">
        <f t="array" ref="P50">MAX(IF((OutputTable[GroupByKey]=OutputTable[[#This Row],[GroupByKey]]),(OutputTable[GroupByKey]=OutputTable[[#This Row],[GroupByKey]])*OutputTable[RecordedValue]))</f>
        <v>0</v>
      </c>
    </row>
    <row r="51" spans="1:16" x14ac:dyDescent="0.25">
      <c r="A51" t="s">
        <v>68</v>
      </c>
      <c r="B51" t="s">
        <v>70</v>
      </c>
      <c r="C51">
        <v>1</v>
      </c>
      <c r="D51" t="s">
        <v>175</v>
      </c>
      <c r="E51" t="s">
        <v>143</v>
      </c>
      <c r="F51" t="s">
        <v>73</v>
      </c>
      <c r="G51">
        <v>10304.5034812877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</v>
      </c>
      <c r="K51" s="5" cm="1">
        <f t="array" ref="K51">IFERROR(AVERAGE(IF((OutputTable[GroupByKey]=OutputTable[[#This Row],[GroupByKey]]),(OutputTable[GroupByKey]=OutputTable[[#This Row],[GroupByKey]])*OutputTable[RecordedValue])),0)</f>
        <v>10257.343173692567</v>
      </c>
      <c r="L51" s="5" cm="1">
        <f t="array" ref="L51">IFERROR(_xlfn.STDEV.S(IF((OutputTable[GroupByKey]=OutputTable[[#This Row],[GroupByKey]]),(OutputTable[GroupByKey]=OutputTable[[#This Row],[GroupByKey]])*OutputTable[RecordedValue])),0)</f>
        <v>2550.6385043783166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4058.6350421865682</v>
      </c>
      <c r="O51" s="5" cm="1">
        <f t="array" ref="O51">MIN(IF((OutputTable[GroupByKey]=OutputTable[[#This Row],[GroupByKey]]),(OutputTable[GroupByKey]=OutputTable[[#This Row],[GroupByKey]])*OutputTable[RecordedValue]))</f>
        <v>7661.1563493536996</v>
      </c>
      <c r="P51" s="5" cm="1">
        <f t="array" ref="P51">MAX(IF((OutputTable[GroupByKey]=OutputTable[[#This Row],[GroupByKey]]),(OutputTable[GroupByKey]=OutputTable[[#This Row],[GroupByKey]])*OutputTable[RecordedValue]))</f>
        <v>13714.2968238091</v>
      </c>
    </row>
    <row r="52" spans="1:16" x14ac:dyDescent="0.25">
      <c r="A52" t="s">
        <v>68</v>
      </c>
      <c r="B52" t="s">
        <v>70</v>
      </c>
      <c r="C52">
        <v>1</v>
      </c>
      <c r="D52" t="s">
        <v>176</v>
      </c>
      <c r="E52" t="s">
        <v>116</v>
      </c>
      <c r="F52" t="s">
        <v>73</v>
      </c>
      <c r="G52">
        <v>224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</v>
      </c>
      <c r="K52" s="5" cm="1">
        <f t="array" ref="K52">IFERROR(AVERAGE(IF((OutputTable[GroupByKey]=OutputTable[[#This Row],[GroupByKey]]),(OutputTable[GroupByKey]=OutputTable[[#This Row],[GroupByKey]])*OutputTable[RecordedValue])),0)</f>
        <v>216.25</v>
      </c>
      <c r="L52" s="5" cm="1">
        <f t="array" ref="L52">IFERROR(_xlfn.STDEV.S(IF((OutputTable[GroupByKey]=OutputTable[[#This Row],[GroupByKey]]),(OutputTable[GroupByKey]=OutputTable[[#This Row],[GroupByKey]])*OutputTable[RecordedValue])),0)</f>
        <v>9.1787798753429097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14.605487050648748</v>
      </c>
      <c r="O52" s="5" cm="1">
        <f t="array" ref="O52">MIN(IF((OutputTable[GroupByKey]=OutputTable[[#This Row],[GroupByKey]]),(OutputTable[GroupByKey]=OutputTable[[#This Row],[GroupByKey]])*OutputTable[RecordedValue]))</f>
        <v>206</v>
      </c>
      <c r="P52" s="5" cm="1">
        <f t="array" ref="P52">MAX(IF((OutputTable[GroupByKey]=OutputTable[[#This Row],[GroupByKey]]),(OutputTable[GroupByKey]=OutputTable[[#This Row],[GroupByKey]])*OutputTable[RecordedValue]))</f>
        <v>224</v>
      </c>
    </row>
    <row r="53" spans="1:16" x14ac:dyDescent="0.25">
      <c r="A53" t="s">
        <v>68</v>
      </c>
      <c r="B53" t="s">
        <v>70</v>
      </c>
      <c r="C53">
        <v>1</v>
      </c>
      <c r="D53" t="s">
        <v>177</v>
      </c>
      <c r="E53" t="s">
        <v>118</v>
      </c>
      <c r="F53" t="s">
        <v>73</v>
      </c>
      <c r="G53">
        <v>166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</v>
      </c>
      <c r="K53" s="5" cm="1">
        <f t="array" ref="K53">IFERROR(AVERAGE(IF((OutputTable[GroupByKey]=OutputTable[[#This Row],[GroupByKey]]),(OutputTable[GroupByKey]=OutputTable[[#This Row],[GroupByKey]])*OutputTable[RecordedValue])),0)</f>
        <v>172.75</v>
      </c>
      <c r="L53" s="5" cm="1">
        <f t="array" ref="L53">IFERROR(_xlfn.STDEV.S(IF((OutputTable[GroupByKey]=OutputTable[[#This Row],[GroupByKey]]),(OutputTable[GroupByKey]=OutputTable[[#This Row],[GroupByKey]])*OutputTable[RecordedValue])),0)</f>
        <v>6.7019897542943667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10.664361265801686</v>
      </c>
      <c r="O53" s="5" cm="1">
        <f t="array" ref="O53">MIN(IF((OutputTable[GroupByKey]=OutputTable[[#This Row],[GroupByKey]]),(OutputTable[GroupByKey]=OutputTable[[#This Row],[GroupByKey]])*OutputTable[RecordedValue]))</f>
        <v>166</v>
      </c>
      <c r="P53" s="5" cm="1">
        <f t="array" ref="P53">MAX(IF((OutputTable[GroupByKey]=OutputTable[[#This Row],[GroupByKey]]),(OutputTable[GroupByKey]=OutputTable[[#This Row],[GroupByKey]])*OutputTable[RecordedValue]))</f>
        <v>179</v>
      </c>
    </row>
    <row r="54" spans="1:16" x14ac:dyDescent="0.25">
      <c r="A54" t="s">
        <v>68</v>
      </c>
      <c r="B54" t="s">
        <v>70</v>
      </c>
      <c r="C54">
        <v>1</v>
      </c>
      <c r="D54" t="s">
        <v>178</v>
      </c>
      <c r="E54" t="s">
        <v>120</v>
      </c>
      <c r="F54" t="s">
        <v>73</v>
      </c>
      <c r="G54">
        <v>124.842455360088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</v>
      </c>
      <c r="K54" s="5" cm="1">
        <f t="array" ref="K54">IFERROR(AVERAGE(IF((OutputTable[GroupByKey]=OutputTable[[#This Row],[GroupByKey]]),(OutputTable[GroupByKey]=OutputTable[[#This Row],[GroupByKey]])*OutputTable[RecordedValue])),0)</f>
        <v>127.224941282769</v>
      </c>
      <c r="L54" s="5" cm="1">
        <f t="array" ref="L54">IFERROR(_xlfn.STDEV.S(IF((OutputTable[GroupByKey]=OutputTable[[#This Row],[GroupByKey]]),(OutputTable[GroupByKey]=OutputTable[[#This Row],[GroupByKey]])*OutputTable[RecordedValue])),0)</f>
        <v>4.2482705353357675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54" s="5" cm="1">
        <f t="array" ref="O54">MIN(IF((OutputTable[GroupByKey]=OutputTable[[#This Row],[GroupByKey]]),(OutputTable[GroupByKey]=OutputTable[[#This Row],[GroupByKey]])*OutputTable[RecordedValue]))</f>
        <v>122.526469595731</v>
      </c>
      <c r="P54" s="5" cm="1">
        <f t="array" ref="P54">MAX(IF((OutputTable[GroupByKey]=OutputTable[[#This Row],[GroupByKey]]),(OutputTable[GroupByKey]=OutputTable[[#This Row],[GroupByKey]])*OutputTable[RecordedValue]))</f>
        <v>131.578301359161</v>
      </c>
    </row>
    <row r="55" spans="1:16" x14ac:dyDescent="0.25">
      <c r="A55" t="s">
        <v>68</v>
      </c>
      <c r="B55" t="s">
        <v>70</v>
      </c>
      <c r="C55">
        <v>1</v>
      </c>
      <c r="D55" t="s">
        <v>179</v>
      </c>
      <c r="E55" t="s">
        <v>122</v>
      </c>
      <c r="F55" t="s">
        <v>73</v>
      </c>
      <c r="G55">
        <v>10928.715758088199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</v>
      </c>
      <c r="K55" s="5" cm="1">
        <f t="array" ref="K55">IFERROR(AVERAGE(IF((OutputTable[GroupByKey]=OutputTable[[#This Row],[GroupByKey]]),(OutputTable[GroupByKey]=OutputTable[[#This Row],[GroupByKey]])*OutputTable[RecordedValue])),0)</f>
        <v>10893.46788010644</v>
      </c>
      <c r="L55" s="5" cm="1">
        <f t="array" ref="L55">IFERROR(_xlfn.STDEV.S(IF((OutputTable[GroupByKey]=OutputTable[[#This Row],[GroupByKey]]),(OutputTable[GroupByKey]=OutputTable[[#This Row],[GroupByKey]])*OutputTable[RecordedValue])),0)</f>
        <v>2562.1766713466454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4076.9948406056201</v>
      </c>
      <c r="O55" s="5" cm="1">
        <f t="array" ref="O55">MIN(IF((OutputTable[GroupByKey]=OutputTable[[#This Row],[GroupByKey]]),(OutputTable[GroupByKey]=OutputTable[[#This Row],[GroupByKey]])*OutputTable[RecordedValue]))</f>
        <v>8273.7886973323602</v>
      </c>
      <c r="P55" s="5" cm="1">
        <f t="array" ref="P55">MAX(IF((OutputTable[GroupByKey]=OutputTable[[#This Row],[GroupByKey]]),(OutputTable[GroupByKey]=OutputTable[[#This Row],[GroupByKey]])*OutputTable[RecordedValue]))</f>
        <v>14364.0595178896</v>
      </c>
    </row>
    <row r="56" spans="1:16" x14ac:dyDescent="0.25">
      <c r="A56" t="s">
        <v>68</v>
      </c>
      <c r="B56" t="s">
        <v>70</v>
      </c>
      <c r="C56">
        <v>1</v>
      </c>
      <c r="D56" t="s">
        <v>180</v>
      </c>
      <c r="E56" t="s">
        <v>132</v>
      </c>
      <c r="F56" t="s">
        <v>106</v>
      </c>
      <c r="G56">
        <v>0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</v>
      </c>
      <c r="K56" s="5" cm="1">
        <f t="array" ref="K56">IFERROR(AVERAGE(IF((OutputTable[GroupByKey]=OutputTable[[#This Row],[GroupByKey]]),(OutputTable[GroupByKey]=OutputTable[[#This Row],[GroupByKey]])*OutputTable[RecordedValue])),0)</f>
        <v>0</v>
      </c>
      <c r="L56" s="5" cm="1">
        <f t="array" ref="L56">IFERROR(_xlfn.STDEV.S(IF((OutputTable[GroupByKey]=OutputTable[[#This Row],[GroupByKey]]),(OutputTable[GroupByKey]=OutputTable[[#This Row],[GroupByKey]])*OutputTable[RecordedValue])),0)</f>
        <v>0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0</v>
      </c>
    </row>
    <row r="57" spans="1:16" x14ac:dyDescent="0.25">
      <c r="A57" t="s">
        <v>68</v>
      </c>
      <c r="B57" t="s">
        <v>70</v>
      </c>
      <c r="C57">
        <v>1</v>
      </c>
      <c r="D57" t="s">
        <v>181</v>
      </c>
      <c r="E57" t="s">
        <v>134</v>
      </c>
      <c r="F57" t="s">
        <v>106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70</v>
      </c>
      <c r="C58">
        <v>1</v>
      </c>
      <c r="D58" t="s">
        <v>182</v>
      </c>
      <c r="E58" t="s">
        <v>161</v>
      </c>
      <c r="F58" t="s">
        <v>106</v>
      </c>
      <c r="G58">
        <v>168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</v>
      </c>
      <c r="K58" s="5" cm="1">
        <f t="array" ref="K58">IFERROR(AVERAGE(IF((OutputTable[GroupByKey]=OutputTable[[#This Row],[GroupByKey]]),(OutputTable[GroupByKey]=OutputTable[[#This Row],[GroupByKey]])*OutputTable[RecordedValue])),0)</f>
        <v>173.75</v>
      </c>
      <c r="L58" s="5" cm="1">
        <f t="array" ref="L58">IFERROR(_xlfn.STDEV.S(IF((OutputTable[GroupByKey]=OutputTable[[#This Row],[GroupByKey]]),(OutputTable[GroupByKey]=OutputTable[[#This Row],[GroupByKey]])*OutputTable[RecordedValue])),0)</f>
        <v>6.6520673478250352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10.584923576792088</v>
      </c>
      <c r="O58" s="5" cm="1">
        <f t="array" ref="O58">MIN(IF((OutputTable[GroupByKey]=OutputTable[[#This Row],[GroupByKey]]),(OutputTable[GroupByKey]=OutputTable[[#This Row],[GroupByKey]])*OutputTable[RecordedValue]))</f>
        <v>168</v>
      </c>
      <c r="P58" s="5" cm="1">
        <f t="array" ref="P58">MAX(IF((OutputTable[GroupByKey]=OutputTable[[#This Row],[GroupByKey]]),(OutputTable[GroupByKey]=OutputTable[[#This Row],[GroupByKey]])*OutputTable[RecordedValue]))</f>
        <v>180</v>
      </c>
    </row>
    <row r="59" spans="1:16" x14ac:dyDescent="0.25">
      <c r="A59" t="s">
        <v>68</v>
      </c>
      <c r="B59" t="s">
        <v>70</v>
      </c>
      <c r="C59">
        <v>1</v>
      </c>
      <c r="D59" t="s">
        <v>183</v>
      </c>
      <c r="E59" t="s">
        <v>163</v>
      </c>
      <c r="F59" t="s">
        <v>106</v>
      </c>
      <c r="G59">
        <v>0.58493978773938404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</v>
      </c>
      <c r="K59" s="5" cm="1">
        <f t="array" ref="K59">IFERROR(AVERAGE(IF((OutputTable[GroupByKey]=OutputTable[[#This Row],[GroupByKey]]),(OutputTable[GroupByKey]=OutputTable[[#This Row],[GroupByKey]])*OutputTable[RecordedValue])),0)</f>
        <v>0.59254402897918601</v>
      </c>
      <c r="L59" s="5" cm="1">
        <f t="array" ref="L59">IFERROR(_xlfn.STDEV.S(IF((OutputTable[GroupByKey]=OutputTable[[#This Row],[GroupByKey]]),(OutputTable[GroupByKey]=OutputTable[[#This Row],[GroupByKey]])*OutputTable[RecordedValue])),0)</f>
        <v>2.0319404327018134E-2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3.2332706613042321E-2</v>
      </c>
      <c r="O59" s="5" cm="1">
        <f t="array" ref="O59">MIN(IF((OutputTable[GroupByKey]=OutputTable[[#This Row],[GroupByKey]]),(OutputTable[GroupByKey]=OutputTable[[#This Row],[GroupByKey]])*OutputTable[RecordedValue]))</f>
        <v>0.56725217405431305</v>
      </c>
      <c r="P59" s="5" cm="1">
        <f t="array" ref="P59">MAX(IF((OutputTable[GroupByKey]=OutputTable[[#This Row],[GroupByKey]]),(OutputTable[GroupByKey]=OutputTable[[#This Row],[GroupByKey]])*OutputTable[RecordedValue]))</f>
        <v>0.60915880258870903</v>
      </c>
    </row>
    <row r="60" spans="1:16" x14ac:dyDescent="0.25">
      <c r="A60" t="s">
        <v>68</v>
      </c>
      <c r="B60" t="s">
        <v>70</v>
      </c>
      <c r="C60">
        <v>1</v>
      </c>
      <c r="D60" t="s">
        <v>184</v>
      </c>
      <c r="E60" t="s">
        <v>137</v>
      </c>
      <c r="F60" t="s">
        <v>106</v>
      </c>
      <c r="G60">
        <v>0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</v>
      </c>
      <c r="K60" s="5" cm="1">
        <f t="array" ref="K60">IFERROR(AVERAGE(IF((OutputTable[GroupByKey]=OutputTable[[#This Row],[GroupByKey]]),(OutputTable[GroupByKey]=OutputTable[[#This Row],[GroupByKey]])*OutputTable[RecordedValue])),0)</f>
        <v>0</v>
      </c>
      <c r="L60" s="5" cm="1">
        <f t="array" ref="L60">IFERROR(_xlfn.STDEV.S(IF((OutputTable[GroupByKey]=OutputTable[[#This Row],[GroupByKey]]),(OutputTable[GroupByKey]=OutputTable[[#This Row],[GroupByKey]])*OutputTable[RecordedValue])),0)</f>
        <v>0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" s="5" cm="1">
        <f t="array" ref="O60">MIN(IF((OutputTable[GroupByKey]=OutputTable[[#This Row],[GroupByKey]]),(OutputTable[GroupByKey]=OutputTable[[#This Row],[GroupByKey]])*OutputTable[RecordedValue]))</f>
        <v>0</v>
      </c>
      <c r="P60" s="5" cm="1">
        <f t="array" ref="P60">MAX(IF((OutputTable[GroupByKey]=OutputTable[[#This Row],[GroupByKey]]),(OutputTable[GroupByKey]=OutputTable[[#This Row],[GroupByKey]])*OutputTable[RecordedValue]))</f>
        <v>0</v>
      </c>
    </row>
    <row r="61" spans="1:16" x14ac:dyDescent="0.25">
      <c r="A61" t="s">
        <v>68</v>
      </c>
      <c r="B61" t="s">
        <v>70</v>
      </c>
      <c r="C61">
        <v>2</v>
      </c>
      <c r="D61" t="s">
        <v>111</v>
      </c>
      <c r="E61" t="s">
        <v>112</v>
      </c>
      <c r="F61" t="s">
        <v>73</v>
      </c>
      <c r="G61">
        <v>0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</v>
      </c>
      <c r="K61" s="5" cm="1">
        <f t="array" ref="K61">IFERROR(AVERAGE(IF((OutputTable[GroupByKey]=OutputTable[[#This Row],[GroupByKey]]),(OutputTable[GroupByKey]=OutputTable[[#This Row],[GroupByKey]])*OutputTable[RecordedValue])),0)</f>
        <v>0</v>
      </c>
      <c r="L61" s="5" cm="1">
        <f t="array" ref="L61">IFERROR(_xlfn.STDEV.S(IF((OutputTable[GroupByKey]=OutputTable[[#This Row],[GroupByKey]]),(OutputTable[GroupByKey]=OutputTable[[#This Row],[GroupByKey]])*OutputTable[RecordedValue])),0)</f>
        <v>0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" s="5" cm="1">
        <f t="array" ref="O61">MIN(IF((OutputTable[GroupByKey]=OutputTable[[#This Row],[GroupByKey]]),(OutputTable[GroupByKey]=OutputTable[[#This Row],[GroupByKey]])*OutputTable[RecordedValue]))</f>
        <v>0</v>
      </c>
      <c r="P61" s="5" cm="1">
        <f t="array" ref="P61">MAX(IF((OutputTable[GroupByKey]=OutputTable[[#This Row],[GroupByKey]]),(OutputTable[GroupByKey]=OutputTable[[#This Row],[GroupByKey]])*OutputTable[RecordedValue]))</f>
        <v>0</v>
      </c>
    </row>
    <row r="62" spans="1:16" x14ac:dyDescent="0.25">
      <c r="A62" t="s">
        <v>68</v>
      </c>
      <c r="B62" t="s">
        <v>70</v>
      </c>
      <c r="C62">
        <v>2</v>
      </c>
      <c r="D62" t="s">
        <v>113</v>
      </c>
      <c r="E62" t="s">
        <v>114</v>
      </c>
      <c r="F62" t="s">
        <v>73</v>
      </c>
      <c r="G62">
        <v>92.075376137388503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</v>
      </c>
      <c r="K62" s="5" cm="1">
        <f t="array" ref="K62">IFERROR(AVERAGE(IF((OutputTable[GroupByKey]=OutputTable[[#This Row],[GroupByKey]]),(OutputTable[GroupByKey]=OutputTable[[#This Row],[GroupByKey]])*OutputTable[RecordedValue])),0)</f>
        <v>88.003486580679507</v>
      </c>
      <c r="L62" s="5" cm="1">
        <f t="array" ref="L62">IFERROR(_xlfn.STDEV.S(IF((OutputTable[GroupByKey]=OutputTable[[#This Row],[GroupByKey]]),(OutputTable[GroupByKey]=OutputTable[[#This Row],[GroupByKey]])*OutputTable[RecordedValue])),0)</f>
        <v>10.627944107482914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62" s="5" cm="1">
        <f t="array" ref="O62">MIN(IF((OutputTable[GroupByKey]=OutputTable[[#This Row],[GroupByKey]]),(OutputTable[GroupByKey]=OutputTable[[#This Row],[GroupByKey]])*OutputTable[RecordedValue]))</f>
        <v>73.798651806292298</v>
      </c>
      <c r="P62" s="5" cm="1">
        <f t="array" ref="P62">MAX(IF((OutputTable[GroupByKey]=OutputTable[[#This Row],[GroupByKey]]),(OutputTable[GroupByKey]=OutputTable[[#This Row],[GroupByKey]])*OutputTable[RecordedValue]))</f>
        <v>98.950591933256206</v>
      </c>
    </row>
    <row r="63" spans="1:16" x14ac:dyDescent="0.25">
      <c r="A63" t="s">
        <v>68</v>
      </c>
      <c r="B63" t="s">
        <v>70</v>
      </c>
      <c r="C63">
        <v>2</v>
      </c>
      <c r="D63" t="s">
        <v>115</v>
      </c>
      <c r="E63" t="s">
        <v>116</v>
      </c>
      <c r="F63" t="s">
        <v>73</v>
      </c>
      <c r="G63">
        <v>17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</v>
      </c>
      <c r="K63" s="5" cm="1">
        <f t="array" ref="K63">IFERROR(AVERAGE(IF((OutputTable[GroupByKey]=OutputTable[[#This Row],[GroupByKey]]),(OutputTable[GroupByKey]=OutputTable[[#This Row],[GroupByKey]])*OutputTable[RecordedValue])),0)</f>
        <v>15</v>
      </c>
      <c r="L63" s="5" cm="1">
        <f t="array" ref="L63">IFERROR(_xlfn.STDEV.S(IF((OutputTable[GroupByKey]=OutputTable[[#This Row],[GroupByKey]]),(OutputTable[GroupByKey]=OutputTable[[#This Row],[GroupByKey]])*OutputTable[RecordedValue])),0)</f>
        <v>1.8257418583505538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2.905162715754765</v>
      </c>
      <c r="O63" s="5" cm="1">
        <f t="array" ref="O63">MIN(IF((OutputTable[GroupByKey]=OutputTable[[#This Row],[GroupByKey]]),(OutputTable[GroupByKey]=OutputTable[[#This Row],[GroupByKey]])*OutputTable[RecordedValue]))</f>
        <v>13</v>
      </c>
      <c r="P63" s="5" cm="1">
        <f t="array" ref="P63">MAX(IF((OutputTable[GroupByKey]=OutputTable[[#This Row],[GroupByKey]]),(OutputTable[GroupByKey]=OutputTable[[#This Row],[GroupByKey]])*OutputTable[RecordedValue]))</f>
        <v>17</v>
      </c>
    </row>
    <row r="64" spans="1:16" x14ac:dyDescent="0.25">
      <c r="A64" t="s">
        <v>68</v>
      </c>
      <c r="B64" t="s">
        <v>70</v>
      </c>
      <c r="C64">
        <v>2</v>
      </c>
      <c r="D64" t="s">
        <v>117</v>
      </c>
      <c r="E64" t="s">
        <v>118</v>
      </c>
      <c r="F64" t="s">
        <v>73</v>
      </c>
      <c r="G64">
        <v>16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</v>
      </c>
      <c r="K64" s="5" cm="1">
        <f t="array" ref="K64">IFERROR(AVERAGE(IF((OutputTable[GroupByKey]=OutputTable[[#This Row],[GroupByKey]]),(OutputTable[GroupByKey]=OutputTable[[#This Row],[GroupByKey]])*OutputTable[RecordedValue])),0)</f>
        <v>14.5</v>
      </c>
      <c r="L64" s="5" cm="1">
        <f t="array" ref="L64">IFERROR(_xlfn.STDEV.S(IF((OutputTable[GroupByKey]=OutputTable[[#This Row],[GroupByKey]]),(OutputTable[GroupByKey]=OutputTable[[#This Row],[GroupByKey]])*OutputTable[RecordedValue])),0)</f>
        <v>1.9148542155126762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3.0469603616576246</v>
      </c>
      <c r="O64" s="5" cm="1">
        <f t="array" ref="O64">MIN(IF((OutputTable[GroupByKey]=OutputTable[[#This Row],[GroupByKey]]),(OutputTable[GroupByKey]=OutputTable[[#This Row],[GroupByKey]])*OutputTable[RecordedValue]))</f>
        <v>12</v>
      </c>
      <c r="P64" s="5" cm="1">
        <f t="array" ref="P64">MAX(IF((OutputTable[GroupByKey]=OutputTable[[#This Row],[GroupByKey]]),(OutputTable[GroupByKey]=OutputTable[[#This Row],[GroupByKey]])*OutputTable[RecordedValue]))</f>
        <v>16</v>
      </c>
    </row>
    <row r="65" spans="1:16" x14ac:dyDescent="0.25">
      <c r="A65" t="s">
        <v>68</v>
      </c>
      <c r="B65" t="s">
        <v>70</v>
      </c>
      <c r="C65">
        <v>2</v>
      </c>
      <c r="D65" t="s">
        <v>119</v>
      </c>
      <c r="E65" t="s">
        <v>120</v>
      </c>
      <c r="F65" t="s">
        <v>73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</v>
      </c>
      <c r="K65" s="5" cm="1">
        <f t="array" ref="K65">IFERROR(AVERAGE(IF((OutputTable[GroupByKey]=OutputTable[[#This Row],[GroupByKey]]),(OutputTable[GroupByKey]=OutputTable[[#This Row],[GroupByKey]])*OutputTable[RecordedValue])),0)</f>
        <v>0</v>
      </c>
      <c r="L65" s="5" cm="1">
        <f t="array" ref="L65">IFERROR(_xlfn.STDEV.S(IF((OutputTable[GroupByKey]=OutputTable[[#This Row],[GroupByKey]]),(OutputTable[GroupByKey]=OutputTable[[#This Row],[GroupByKey]])*OutputTable[RecordedValue])),0)</f>
        <v>0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25">
      <c r="A66" t="s">
        <v>68</v>
      </c>
      <c r="B66" t="s">
        <v>70</v>
      </c>
      <c r="C66">
        <v>2</v>
      </c>
      <c r="D66" t="s">
        <v>121</v>
      </c>
      <c r="E66" t="s">
        <v>122</v>
      </c>
      <c r="F66" t="s">
        <v>73</v>
      </c>
      <c r="G66">
        <v>92.075376137388503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</v>
      </c>
      <c r="K66" s="5" cm="1">
        <f t="array" ref="K66">IFERROR(AVERAGE(IF((OutputTable[GroupByKey]=OutputTable[[#This Row],[GroupByKey]]),(OutputTable[GroupByKey]=OutputTable[[#This Row],[GroupByKey]])*OutputTable[RecordedValue])),0)</f>
        <v>88.003486580679507</v>
      </c>
      <c r="L66" s="5" cm="1">
        <f t="array" ref="L66">IFERROR(_xlfn.STDEV.S(IF((OutputTable[GroupByKey]=OutputTable[[#This Row],[GroupByKey]]),(OutputTable[GroupByKey]=OutputTable[[#This Row],[GroupByKey]])*OutputTable[RecordedValue])),0)</f>
        <v>10.627944107482914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66" s="5" cm="1">
        <f t="array" ref="O66">MIN(IF((OutputTable[GroupByKey]=OutputTable[[#This Row],[GroupByKey]]),(OutputTable[GroupByKey]=OutputTable[[#This Row],[GroupByKey]])*OutputTable[RecordedValue]))</f>
        <v>73.798651806292298</v>
      </c>
      <c r="P66" s="5" cm="1">
        <f t="array" ref="P66">MAX(IF((OutputTable[GroupByKey]=OutputTable[[#This Row],[GroupByKey]]),(OutputTable[GroupByKey]=OutputTable[[#This Row],[GroupByKey]])*OutputTable[RecordedValue]))</f>
        <v>98.950591933256206</v>
      </c>
    </row>
    <row r="67" spans="1:16" x14ac:dyDescent="0.25">
      <c r="A67" t="s">
        <v>68</v>
      </c>
      <c r="B67" t="s">
        <v>70</v>
      </c>
      <c r="C67">
        <v>2</v>
      </c>
      <c r="D67" t="s">
        <v>123</v>
      </c>
      <c r="E67" t="s">
        <v>85</v>
      </c>
      <c r="F67" t="s">
        <v>124</v>
      </c>
      <c r="G67">
        <v>0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</v>
      </c>
      <c r="K67" s="5" cm="1">
        <f t="array" ref="K67">IFERROR(AVERAGE(IF((OutputTable[GroupByKey]=OutputTable[[#This Row],[GroupByKey]]),(OutputTable[GroupByKey]=OutputTable[[#This Row],[GroupByKey]])*OutputTable[RecordedValue])),0)</f>
        <v>0</v>
      </c>
      <c r="L67" s="5" cm="1">
        <f t="array" ref="L67">IFERROR(_xlfn.STDEV.S(IF((OutputTable[GroupByKey]=OutputTable[[#This Row],[GroupByKey]]),(OutputTable[GroupByKey]=OutputTable[[#This Row],[GroupByKey]])*OutputTable[RecordedValue])),0)</f>
        <v>0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" s="5" cm="1">
        <f t="array" ref="O67">MIN(IF((OutputTable[GroupByKey]=OutputTable[[#This Row],[GroupByKey]]),(OutputTable[GroupByKey]=OutputTable[[#This Row],[GroupByKey]])*OutputTable[RecordedValue]))</f>
        <v>0</v>
      </c>
      <c r="P67" s="5" cm="1">
        <f t="array" ref="P67">MAX(IF((OutputTable[GroupByKey]=OutputTable[[#This Row],[GroupByKey]]),(OutputTable[GroupByKey]=OutputTable[[#This Row],[GroupByKey]])*OutputTable[RecordedValue]))</f>
        <v>0</v>
      </c>
    </row>
    <row r="68" spans="1:16" x14ac:dyDescent="0.25">
      <c r="A68" t="s">
        <v>68</v>
      </c>
      <c r="B68" t="s">
        <v>70</v>
      </c>
      <c r="C68">
        <v>2</v>
      </c>
      <c r="D68" t="s">
        <v>125</v>
      </c>
      <c r="E68" t="s">
        <v>88</v>
      </c>
      <c r="F68" t="s">
        <v>124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70</v>
      </c>
      <c r="C69">
        <v>2</v>
      </c>
      <c r="D69" t="s">
        <v>126</v>
      </c>
      <c r="E69" t="s">
        <v>90</v>
      </c>
      <c r="F69" t="s">
        <v>124</v>
      </c>
      <c r="G69">
        <v>213.023211834509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</v>
      </c>
      <c r="K69" s="5" cm="1">
        <f t="array" ref="K69">IFERROR(AVERAGE(IF((OutputTable[GroupByKey]=OutputTable[[#This Row],[GroupByKey]]),(OutputTable[GroupByKey]=OutputTable[[#This Row],[GroupByKey]])*OutputTable[RecordedValue])),0)</f>
        <v>210.78541398558849</v>
      </c>
      <c r="L69" s="5" cm="1">
        <f t="array" ref="L69">IFERROR(_xlfn.STDEV.S(IF((OutputTable[GroupByKey]=OutputTable[[#This Row],[GroupByKey]]),(OutputTable[GroupByKey]=OutputTable[[#This Row],[GroupByKey]])*OutputTable[RecordedValue])),0)</f>
        <v>4.3015506850385421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69" s="5" cm="1">
        <f t="array" ref="O69">MIN(IF((OutputTable[GroupByKey]=OutputTable[[#This Row],[GroupByKey]]),(OutputTable[GroupByKey]=OutputTable[[#This Row],[GroupByKey]])*OutputTable[RecordedValue]))</f>
        <v>206.05792548363399</v>
      </c>
      <c r="P69" s="5" cm="1">
        <f t="array" ref="P69">MAX(IF((OutputTable[GroupByKey]=OutputTable[[#This Row],[GroupByKey]]),(OutputTable[GroupByKey]=OutputTable[[#This Row],[GroupByKey]])*OutputTable[RecordedValue]))</f>
        <v>215.56959882430399</v>
      </c>
    </row>
    <row r="70" spans="1:16" x14ac:dyDescent="0.25">
      <c r="A70" t="s">
        <v>68</v>
      </c>
      <c r="B70" t="s">
        <v>70</v>
      </c>
      <c r="C70">
        <v>2</v>
      </c>
      <c r="D70" t="s">
        <v>127</v>
      </c>
      <c r="E70" t="s">
        <v>128</v>
      </c>
      <c r="F70" t="s">
        <v>124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</v>
      </c>
      <c r="K70" s="5" cm="1">
        <f t="array" ref="K70">IFERROR(AVERAGE(IF((OutputTable[GroupByKey]=OutputTable[[#This Row],[GroupByKey]]),(OutputTable[GroupByKey]=OutputTable[[#This Row],[GroupByKey]])*OutputTable[RecordedValue])),0)</f>
        <v>0</v>
      </c>
      <c r="L70" s="5" cm="1">
        <f t="array" ref="L70">IFERROR(_xlfn.STDEV.S(IF((OutputTable[GroupByKey]=OutputTable[[#This Row],[GroupByKey]]),(OutputTable[GroupByKey]=OutputTable[[#This Row],[GroupByKey]])*OutputTable[RecordedValue])),0)</f>
        <v>0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" s="5" cm="1">
        <f t="array" ref="O70">MIN(IF((OutputTable[GroupByKey]=OutputTable[[#This Row],[GroupByKey]]),(OutputTable[GroupByKey]=OutputTable[[#This Row],[GroupByKey]])*OutputTable[RecordedValue]))</f>
        <v>0</v>
      </c>
      <c r="P70" s="5" cm="1">
        <f t="array" ref="P70">MAX(IF((OutputTable[GroupByKey]=OutputTable[[#This Row],[GroupByKey]]),(OutputTable[GroupByKey]=OutputTable[[#This Row],[GroupByKey]])*OutputTable[RecordedValue]))</f>
        <v>0</v>
      </c>
    </row>
    <row r="71" spans="1:16" x14ac:dyDescent="0.25">
      <c r="A71" t="s">
        <v>68</v>
      </c>
      <c r="B71" t="s">
        <v>70</v>
      </c>
      <c r="C71">
        <v>2</v>
      </c>
      <c r="D71" t="s">
        <v>129</v>
      </c>
      <c r="E71" t="s">
        <v>94</v>
      </c>
      <c r="F71" t="s">
        <v>124</v>
      </c>
      <c r="G71">
        <v>213.023211834509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Entities.VACostVA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</v>
      </c>
      <c r="K71" s="5" cm="1">
        <f t="array" ref="K71">IFERROR(AVERAGE(IF((OutputTable[GroupByKey]=OutputTable[[#This Row],[GroupByKey]]),(OutputTable[GroupByKey]=OutputTable[[#This Row],[GroupByKey]])*OutputTable[RecordedValue])),0)</f>
        <v>210.78541398558849</v>
      </c>
      <c r="L71" s="5" cm="1">
        <f t="array" ref="L71">IFERROR(_xlfn.STDEV.S(IF((OutputTable[GroupByKey]=OutputTable[[#This Row],[GroupByKey]]),(OutputTable[GroupByKey]=OutputTable[[#This Row],[GroupByKey]])*OutputTable[RecordedValue])),0)</f>
        <v>4.3015506850385421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71" s="5" cm="1">
        <f t="array" ref="O71">MIN(IF((OutputTable[GroupByKey]=OutputTable[[#This Row],[GroupByKey]]),(OutputTable[GroupByKey]=OutputTable[[#This Row],[GroupByKey]])*OutputTable[RecordedValue]))</f>
        <v>206.05792548363399</v>
      </c>
      <c r="P71" s="5" cm="1">
        <f t="array" ref="P71">MAX(IF((OutputTable[GroupByKey]=OutputTable[[#This Row],[GroupByKey]]),(OutputTable[GroupByKey]=OutputTable[[#This Row],[GroupByKey]])*OutputTable[RecordedValue]))</f>
        <v>215.56959882430399</v>
      </c>
    </row>
    <row r="72" spans="1:16" x14ac:dyDescent="0.25">
      <c r="A72" t="s">
        <v>68</v>
      </c>
      <c r="B72" t="s">
        <v>70</v>
      </c>
      <c r="C72">
        <v>2</v>
      </c>
      <c r="D72" t="s">
        <v>130</v>
      </c>
      <c r="E72" t="s">
        <v>96</v>
      </c>
      <c r="F72" t="s">
        <v>124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131</v>
      </c>
      <c r="E73" t="s">
        <v>132</v>
      </c>
      <c r="F73" t="s">
        <v>124</v>
      </c>
      <c r="G73">
        <v>213.023211834509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</v>
      </c>
      <c r="K73" s="5" cm="1">
        <f t="array" ref="K73">IFERROR(AVERAGE(IF((OutputTable[GroupByKey]=OutputTable[[#This Row],[GroupByKey]]),(OutputTable[GroupByKey]=OutputTable[[#This Row],[GroupByKey]])*OutputTable[RecordedValue])),0)</f>
        <v>210.78541398558849</v>
      </c>
      <c r="L73" s="5" cm="1">
        <f t="array" ref="L73">IFERROR(_xlfn.STDEV.S(IF((OutputTable[GroupByKey]=OutputTable[[#This Row],[GroupByKey]]),(OutputTable[GroupByKey]=OutputTable[[#This Row],[GroupByKey]])*OutputTable[RecordedValue])),0)</f>
        <v>4.3015506850385421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73" s="5" cm="1">
        <f t="array" ref="O73">MIN(IF((OutputTable[GroupByKey]=OutputTable[[#This Row],[GroupByKey]]),(OutputTable[GroupByKey]=OutputTable[[#This Row],[GroupByKey]])*OutputTable[RecordedValue]))</f>
        <v>206.05792548363399</v>
      </c>
      <c r="P73" s="5" cm="1">
        <f t="array" ref="P73">MAX(IF((OutputTable[GroupByKey]=OutputTable[[#This Row],[GroupByKey]]),(OutputTable[GroupByKey]=OutputTable[[#This Row],[GroupByKey]])*OutputTable[RecordedValue]))</f>
        <v>215.56959882430399</v>
      </c>
    </row>
    <row r="74" spans="1:16" x14ac:dyDescent="0.25">
      <c r="A74" t="s">
        <v>68</v>
      </c>
      <c r="B74" t="s">
        <v>70</v>
      </c>
      <c r="C74">
        <v>2</v>
      </c>
      <c r="D74" t="s">
        <v>133</v>
      </c>
      <c r="E74" t="s">
        <v>134</v>
      </c>
      <c r="F74" t="s">
        <v>124</v>
      </c>
      <c r="G74">
        <v>1.42305105017081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</v>
      </c>
      <c r="K74" s="5" cm="1">
        <f t="array" ref="K74">IFERROR(AVERAGE(IF((OutputTable[GroupByKey]=OutputTable[[#This Row],[GroupByKey]]),(OutputTable[GroupByKey]=OutputTable[[#This Row],[GroupByKey]])*OutputTable[RecordedValue])),0)</f>
        <v>4.2300500576210318</v>
      </c>
      <c r="L74" s="5" cm="1">
        <f t="array" ref="L74">IFERROR(_xlfn.STDEV.S(IF((OutputTable[GroupByKey]=OutputTable[[#This Row],[GroupByKey]]),(OutputTable[GroupByKey]=OutputTable[[#This Row],[GroupByKey]])*OutputTable[RecordedValue])),0)</f>
        <v>4.2363178600656441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74" s="5" cm="1">
        <f t="array" ref="O74">MIN(IF((OutputTable[GroupByKey]=OutputTable[[#This Row],[GroupByKey]]),(OutputTable[GroupByKey]=OutputTable[[#This Row],[GroupByKey]])*OutputTable[RecordedValue]))</f>
        <v>0.14858336255221799</v>
      </c>
      <c r="P74" s="5" cm="1">
        <f t="array" ref="P74">MAX(IF((OutputTable[GroupByKey]=OutputTable[[#This Row],[GroupByKey]]),(OutputTable[GroupByKey]=OutputTable[[#This Row],[GroupByKey]])*OutputTable[RecordedValue]))</f>
        <v>9.34402440928719</v>
      </c>
    </row>
    <row r="75" spans="1:16" x14ac:dyDescent="0.25">
      <c r="A75" t="s">
        <v>68</v>
      </c>
      <c r="B75" t="s">
        <v>70</v>
      </c>
      <c r="C75">
        <v>2</v>
      </c>
      <c r="D75" t="s">
        <v>135</v>
      </c>
      <c r="E75" t="s">
        <v>90</v>
      </c>
      <c r="F75" t="s">
        <v>124</v>
      </c>
      <c r="G75">
        <v>214.44626288468001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</v>
      </c>
      <c r="K75" s="5" cm="1">
        <f t="array" ref="K75">IFERROR(AVERAGE(IF((OutputTable[GroupByKey]=OutputTable[[#This Row],[GroupByKey]]),(OutputTable[GroupByKey]=OutputTable[[#This Row],[GroupByKey]])*OutputTable[RecordedValue])),0)</f>
        <v>215.01546404320951</v>
      </c>
      <c r="L75" s="5" cm="1">
        <f t="array" ref="L75">IFERROR(_xlfn.STDEV.S(IF((OutputTable[GroupByKey]=OutputTable[[#This Row],[GroupByKey]]),(OutputTable[GroupByKey]=OutputTable[[#This Row],[GroupByKey]])*OutputTable[RecordedValue])),0)</f>
        <v>0.64228161231094227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75" s="5" cm="1">
        <f t="array" ref="O75">MIN(IF((OutputTable[GroupByKey]=OutputTable[[#This Row],[GroupByKey]]),(OutputTable[GroupByKey]=OutputTable[[#This Row],[GroupByKey]])*OutputTable[RecordedValue]))</f>
        <v>214.44626288468001</v>
      </c>
      <c r="P75" s="5" cm="1">
        <f t="array" ref="P75">MAX(IF((OutputTable[GroupByKey]=OutputTable[[#This Row],[GroupByKey]]),(OutputTable[GroupByKey]=OutputTable[[#This Row],[GroupByKey]])*OutputTable[RecordedValue]))</f>
        <v>215.71818218685601</v>
      </c>
    </row>
    <row r="76" spans="1:16" x14ac:dyDescent="0.25">
      <c r="A76" t="s">
        <v>68</v>
      </c>
      <c r="B76" t="s">
        <v>70</v>
      </c>
      <c r="C76">
        <v>2</v>
      </c>
      <c r="D76" t="s">
        <v>136</v>
      </c>
      <c r="E76" t="s">
        <v>137</v>
      </c>
      <c r="F76" t="s">
        <v>124</v>
      </c>
      <c r="G76">
        <v>0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</v>
      </c>
      <c r="K76" s="5" cm="1">
        <f t="array" ref="K76">IFERROR(AVERAGE(IF((OutputTable[GroupByKey]=OutputTable[[#This Row],[GroupByKey]]),(OutputTable[GroupByKey]=OutputTable[[#This Row],[GroupByKey]])*OutputTable[RecordedValue])),0)</f>
        <v>0</v>
      </c>
      <c r="L76" s="5" cm="1">
        <f t="array" ref="L76">IFERROR(_xlfn.STDEV.S(IF((OutputTable[GroupByKey]=OutputTable[[#This Row],[GroupByKey]]),(OutputTable[GroupByKey]=OutputTable[[#This Row],[GroupByKey]])*OutputTable[RecordedValue])),0)</f>
        <v>0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" s="5" cm="1">
        <f t="array" ref="O76">MIN(IF((OutputTable[GroupByKey]=OutputTable[[#This Row],[GroupByKey]]),(OutputTable[GroupByKey]=OutputTable[[#This Row],[GroupByKey]])*OutputTable[RecordedValue]))</f>
        <v>0</v>
      </c>
      <c r="P76" s="5" cm="1">
        <f t="array" ref="P76">MAX(IF((OutputTable[GroupByKey]=OutputTable[[#This Row],[GroupByKey]]),(OutputTable[GroupByKey]=OutputTable[[#This Row],[GroupByKey]])*OutputTable[RecordedValue]))</f>
        <v>0</v>
      </c>
    </row>
    <row r="77" spans="1:16" x14ac:dyDescent="0.25">
      <c r="A77" t="s">
        <v>68</v>
      </c>
      <c r="B77" t="s">
        <v>70</v>
      </c>
      <c r="C77">
        <v>2</v>
      </c>
      <c r="D77" t="s">
        <v>138</v>
      </c>
      <c r="E77" t="s">
        <v>112</v>
      </c>
      <c r="F77" t="s">
        <v>73</v>
      </c>
      <c r="G77">
        <v>76.151855085803504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</v>
      </c>
      <c r="K77" s="5" cm="1">
        <f t="array" ref="K77">IFERROR(AVERAGE(IF((OutputTable[GroupByKey]=OutputTable[[#This Row],[GroupByKey]]),(OutputTable[GroupByKey]=OutputTable[[#This Row],[GroupByKey]])*OutputTable[RecordedValue])),0)</f>
        <v>76.928765378073209</v>
      </c>
      <c r="L77" s="5" cm="1">
        <f t="array" ref="L77">IFERROR(_xlfn.STDEV.S(IF((OutputTable[GroupByKey]=OutputTable[[#This Row],[GroupByKey]]),(OutputTable[GroupByKey]=OutputTable[[#This Row],[GroupByKey]])*OutputTable[RecordedValue])),0)</f>
        <v>3.2874890290420833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77" s="5" cm="1">
        <f t="array" ref="O77">MIN(IF((OutputTable[GroupByKey]=OutputTable[[#This Row],[GroupByKey]]),(OutputTable[GroupByKey]=OutputTable[[#This Row],[GroupByKey]])*OutputTable[RecordedValue]))</f>
        <v>72.601292971098701</v>
      </c>
      <c r="P77" s="5" cm="1">
        <f t="array" ref="P77">MAX(IF((OutputTable[GroupByKey]=OutputTable[[#This Row],[GroupByKey]]),(OutputTable[GroupByKey]=OutputTable[[#This Row],[GroupByKey]])*OutputTable[RecordedValue]))</f>
        <v>79.660934424486001</v>
      </c>
    </row>
    <row r="78" spans="1:16" x14ac:dyDescent="0.25">
      <c r="A78" t="s">
        <v>68</v>
      </c>
      <c r="B78" t="s">
        <v>70</v>
      </c>
      <c r="C78">
        <v>2</v>
      </c>
      <c r="D78" t="s">
        <v>139</v>
      </c>
      <c r="E78" t="s">
        <v>114</v>
      </c>
      <c r="F78" t="s">
        <v>73</v>
      </c>
      <c r="G78">
        <v>380.75927542901798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</v>
      </c>
      <c r="K78" s="5" cm="1">
        <f t="array" ref="K78">IFERROR(AVERAGE(IF((OutputTable[GroupByKey]=OutputTable[[#This Row],[GroupByKey]]),(OutputTable[GroupByKey]=OutputTable[[#This Row],[GroupByKey]])*OutputTable[RecordedValue])),0)</f>
        <v>384.64382689036626</v>
      </c>
      <c r="L78" s="5" cm="1">
        <f t="array" ref="L78">IFERROR(_xlfn.STDEV.S(IF((OutputTable[GroupByKey]=OutputTable[[#This Row],[GroupByKey]]),(OutputTable[GroupByKey]=OutputTable[[#This Row],[GroupByKey]])*OutputTable[RecordedValue])),0)</f>
        <v>16.437445145210162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26.155643285338851</v>
      </c>
      <c r="O78" s="5" cm="1">
        <f t="array" ref="O78">MIN(IF((OutputTable[GroupByKey]=OutputTable[[#This Row],[GroupByKey]]),(OutputTable[GroupByKey]=OutputTable[[#This Row],[GroupByKey]])*OutputTable[RecordedValue]))</f>
        <v>363.00646485549402</v>
      </c>
      <c r="P78" s="5" cm="1">
        <f t="array" ref="P78">MAX(IF((OutputTable[GroupByKey]=OutputTable[[#This Row],[GroupByKey]]),(OutputTable[GroupByKey]=OutputTable[[#This Row],[GroupByKey]])*OutputTable[RecordedValue]))</f>
        <v>398.30467212243002</v>
      </c>
    </row>
    <row r="79" spans="1:16" x14ac:dyDescent="0.25">
      <c r="A79" t="s">
        <v>68</v>
      </c>
      <c r="B79" t="s">
        <v>70</v>
      </c>
      <c r="C79">
        <v>2</v>
      </c>
      <c r="D79" t="s">
        <v>140</v>
      </c>
      <c r="E79" t="s">
        <v>141</v>
      </c>
      <c r="F79" t="s">
        <v>73</v>
      </c>
      <c r="G79">
        <v>0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</v>
      </c>
      <c r="K79" s="5" cm="1">
        <f t="array" ref="K79">IFERROR(AVERAGE(IF((OutputTable[GroupByKey]=OutputTable[[#This Row],[GroupByKey]]),(OutputTable[GroupByKey]=OutputTable[[#This Row],[GroupByKey]])*OutputTable[RecordedValue])),0)</f>
        <v>0</v>
      </c>
      <c r="L79" s="5" cm="1">
        <f t="array" ref="L79">IFERROR(_xlfn.STDEV.S(IF((OutputTable[GroupByKey]=OutputTable[[#This Row],[GroupByKey]]),(OutputTable[GroupByKey]=OutputTable[[#This Row],[GroupByKey]])*OutputTable[RecordedValue])),0)</f>
        <v>0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" s="5" cm="1">
        <f t="array" ref="O79">MIN(IF((OutputTable[GroupByKey]=OutputTable[[#This Row],[GroupByKey]]),(OutputTable[GroupByKey]=OutputTable[[#This Row],[GroupByKey]])*OutputTable[RecordedValue]))</f>
        <v>0</v>
      </c>
      <c r="P79" s="5" cm="1">
        <f t="array" ref="P79">MAX(IF((OutputTable[GroupByKey]=OutputTable[[#This Row],[GroupByKey]]),(OutputTable[GroupByKey]=OutputTable[[#This Row],[GroupByKey]])*OutputTable[RecordedValue]))</f>
        <v>0</v>
      </c>
    </row>
    <row r="80" spans="1:16" x14ac:dyDescent="0.25">
      <c r="A80" t="s">
        <v>68</v>
      </c>
      <c r="B80" t="s">
        <v>70</v>
      </c>
      <c r="C80">
        <v>2</v>
      </c>
      <c r="D80" t="s">
        <v>142</v>
      </c>
      <c r="E80" t="s">
        <v>143</v>
      </c>
      <c r="F80" t="s">
        <v>73</v>
      </c>
      <c r="G80">
        <v>14613.0717473656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</v>
      </c>
      <c r="K80" s="5" cm="1">
        <f t="array" ref="K80">IFERROR(AVERAGE(IF((OutputTable[GroupByKey]=OutputTable[[#This Row],[GroupByKey]]),(OutputTable[GroupByKey]=OutputTable[[#This Row],[GroupByKey]])*OutputTable[RecordedValue])),0)</f>
        <v>12692.581721271574</v>
      </c>
      <c r="L80" s="5" cm="1">
        <f t="array" ref="L80">IFERROR(_xlfn.STDEV.S(IF((OutputTable[GroupByKey]=OutputTable[[#This Row],[GroupByKey]]),(OutputTable[GroupByKey]=OutputTable[[#This Row],[GroupByKey]])*OutputTable[RecordedValue])),0)</f>
        <v>2222.7996146344935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3536.9702104897965</v>
      </c>
      <c r="O80" s="5" cm="1">
        <f t="array" ref="O80">MIN(IF((OutputTable[GroupByKey]=OutputTable[[#This Row],[GroupByKey]]),(OutputTable[GroupByKey]=OutputTable[[#This Row],[GroupByKey]])*OutputTable[RecordedValue]))</f>
        <v>10542.4054832944</v>
      </c>
      <c r="P80" s="5" cm="1">
        <f t="array" ref="P80">MAX(IF((OutputTable[GroupByKey]=OutputTable[[#This Row],[GroupByKey]]),(OutputTable[GroupByKey]=OutputTable[[#This Row],[GroupByKey]])*OutputTable[RecordedValue]))</f>
        <v>14613.0717473656</v>
      </c>
    </row>
    <row r="81" spans="1:16" x14ac:dyDescent="0.25">
      <c r="A81" t="s">
        <v>68</v>
      </c>
      <c r="B81" t="s">
        <v>70</v>
      </c>
      <c r="C81">
        <v>2</v>
      </c>
      <c r="D81" t="s">
        <v>144</v>
      </c>
      <c r="E81" t="s">
        <v>116</v>
      </c>
      <c r="F81" t="s">
        <v>73</v>
      </c>
      <c r="G81">
        <v>292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</v>
      </c>
      <c r="K81" s="5" cm="1">
        <f t="array" ref="K81">IFERROR(AVERAGE(IF((OutputTable[GroupByKey]=OutputTable[[#This Row],[GroupByKey]]),(OutputTable[GroupByKey]=OutputTable[[#This Row],[GroupByKey]])*OutputTable[RecordedValue])),0)</f>
        <v>287</v>
      </c>
      <c r="L81" s="5" cm="1">
        <f t="array" ref="L81">IFERROR(_xlfn.STDEV.S(IF((OutputTable[GroupByKey]=OutputTable[[#This Row],[GroupByKey]]),(OutputTable[GroupByKey]=OutputTable[[#This Row],[GroupByKey]])*OutputTable[RecordedValue])),0)</f>
        <v>9.3452305125841235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81" s="5" cm="1">
        <f t="array" ref="O81">MIN(IF((OutputTable[GroupByKey]=OutputTable[[#This Row],[GroupByKey]]),(OutputTable[GroupByKey]=OutputTable[[#This Row],[GroupByKey]])*OutputTable[RecordedValue]))</f>
        <v>276</v>
      </c>
      <c r="P81" s="5" cm="1">
        <f t="array" ref="P81">MAX(IF((OutputTable[GroupByKey]=OutputTable[[#This Row],[GroupByKey]]),(OutputTable[GroupByKey]=OutputTable[[#This Row],[GroupByKey]])*OutputTable[RecordedValue]))</f>
        <v>297</v>
      </c>
    </row>
    <row r="82" spans="1:16" x14ac:dyDescent="0.25">
      <c r="A82" t="s">
        <v>68</v>
      </c>
      <c r="B82" t="s">
        <v>70</v>
      </c>
      <c r="C82">
        <v>2</v>
      </c>
      <c r="D82" t="s">
        <v>145</v>
      </c>
      <c r="E82" t="s">
        <v>118</v>
      </c>
      <c r="F82" t="s">
        <v>73</v>
      </c>
      <c r="G82">
        <v>217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</v>
      </c>
      <c r="K82" s="5" cm="1">
        <f t="array" ref="K82">IFERROR(AVERAGE(IF((OutputTable[GroupByKey]=OutputTable[[#This Row],[GroupByKey]]),(OutputTable[GroupByKey]=OutputTable[[#This Row],[GroupByKey]])*OutputTable[RecordedValue])),0)</f>
        <v>224</v>
      </c>
      <c r="L82" s="5" cm="1">
        <f t="array" ref="L82">IFERROR(_xlfn.STDEV.S(IF((OutputTable[GroupByKey]=OutputTable[[#This Row],[GroupByKey]]),(OutputTable[GroupByKey]=OutputTable[[#This Row],[GroupByKey]])*OutputTable[RecordedValue])),0)</f>
        <v>9.8994949366116654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15.752305542597284</v>
      </c>
      <c r="O82" s="5" cm="1">
        <f t="array" ref="O82">MIN(IF((OutputTable[GroupByKey]=OutputTable[[#This Row],[GroupByKey]]),(OutputTable[GroupByKey]=OutputTable[[#This Row],[GroupByKey]])*OutputTable[RecordedValue]))</f>
        <v>214</v>
      </c>
      <c r="P82" s="5" cm="1">
        <f t="array" ref="P82">MAX(IF((OutputTable[GroupByKey]=OutputTable[[#This Row],[GroupByKey]]),(OutputTable[GroupByKey]=OutputTable[[#This Row],[GroupByKey]])*OutputTable[RecordedValue]))</f>
        <v>233</v>
      </c>
    </row>
    <row r="83" spans="1:16" x14ac:dyDescent="0.25">
      <c r="A83" t="s">
        <v>68</v>
      </c>
      <c r="B83" t="s">
        <v>70</v>
      </c>
      <c r="C83">
        <v>2</v>
      </c>
      <c r="D83" t="s">
        <v>146</v>
      </c>
      <c r="E83" t="s">
        <v>120</v>
      </c>
      <c r="F83" t="s">
        <v>73</v>
      </c>
      <c r="G83">
        <v>76.151855085803504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</v>
      </c>
      <c r="K83" s="5" cm="1">
        <f t="array" ref="K83">IFERROR(AVERAGE(IF((OutputTable[GroupByKey]=OutputTable[[#This Row],[GroupByKey]]),(OutputTable[GroupByKey]=OutputTable[[#This Row],[GroupByKey]])*OutputTable[RecordedValue])),0)</f>
        <v>76.928765378073209</v>
      </c>
      <c r="L83" s="5" cm="1">
        <f t="array" ref="L83">IFERROR(_xlfn.STDEV.S(IF((OutputTable[GroupByKey]=OutputTable[[#This Row],[GroupByKey]]),(OutputTable[GroupByKey]=OutputTable[[#This Row],[GroupByKey]])*OutputTable[RecordedValue])),0)</f>
        <v>3.2874890290420833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83" s="5" cm="1">
        <f t="array" ref="O83">MIN(IF((OutputTable[GroupByKey]=OutputTable[[#This Row],[GroupByKey]]),(OutputTable[GroupByKey]=OutputTable[[#This Row],[GroupByKey]])*OutputTable[RecordedValue]))</f>
        <v>72.601292971098701</v>
      </c>
      <c r="P83" s="5" cm="1">
        <f t="array" ref="P83">MAX(IF((OutputTable[GroupByKey]=OutputTable[[#This Row],[GroupByKey]]),(OutputTable[GroupByKey]=OutputTable[[#This Row],[GroupByKey]])*OutputTable[RecordedValue]))</f>
        <v>79.660934424486001</v>
      </c>
    </row>
    <row r="84" spans="1:16" x14ac:dyDescent="0.25">
      <c r="A84" t="s">
        <v>68</v>
      </c>
      <c r="B84" t="s">
        <v>70</v>
      </c>
      <c r="C84">
        <v>2</v>
      </c>
      <c r="D84" t="s">
        <v>147</v>
      </c>
      <c r="E84" t="s">
        <v>122</v>
      </c>
      <c r="F84" t="s">
        <v>73</v>
      </c>
      <c r="G84">
        <v>14993.8310227946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</v>
      </c>
      <c r="K84" s="5" cm="1">
        <f t="array" ref="K84">IFERROR(AVERAGE(IF((OutputTable[GroupByKey]=OutputTable[[#This Row],[GroupByKey]]),(OutputTable[GroupByKey]=OutputTable[[#This Row],[GroupByKey]])*OutputTable[RecordedValue])),0)</f>
        <v>13077.22554816195</v>
      </c>
      <c r="L84" s="5" cm="1">
        <f t="array" ref="L84">IFERROR(_xlfn.STDEV.S(IF((OutputTable[GroupByKey]=OutputTable[[#This Row],[GroupByKey]]),(OutputTable[GroupByKey]=OutputTable[[#This Row],[GroupByKey]])*OutputTable[RecordedValue])),0)</f>
        <v>2228.6642699814252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3546.3021858600991</v>
      </c>
      <c r="O84" s="5" cm="1">
        <f t="array" ref="O84">MIN(IF((OutputTable[GroupByKey]=OutputTable[[#This Row],[GroupByKey]]),(OutputTable[GroupByKey]=OutputTable[[#This Row],[GroupByKey]])*OutputTable[RecordedValue]))</f>
        <v>10905.4119481499</v>
      </c>
      <c r="P84" s="5" cm="1">
        <f t="array" ref="P84">MAX(IF((OutputTable[GroupByKey]=OutputTable[[#This Row],[GroupByKey]]),(OutputTable[GroupByKey]=OutputTable[[#This Row],[GroupByKey]])*OutputTable[RecordedValue]))</f>
        <v>15004.5680408265</v>
      </c>
    </row>
    <row r="85" spans="1:16" x14ac:dyDescent="0.25">
      <c r="A85" t="s">
        <v>68</v>
      </c>
      <c r="B85" t="s">
        <v>70</v>
      </c>
      <c r="C85">
        <v>2</v>
      </c>
      <c r="D85" t="s">
        <v>148</v>
      </c>
      <c r="E85" t="s">
        <v>116</v>
      </c>
      <c r="F85" t="s">
        <v>86</v>
      </c>
      <c r="G85">
        <v>292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AnalysisEntity 1.NumberInNumber InEntity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</v>
      </c>
      <c r="K85" s="5" cm="1">
        <f t="array" ref="K85">IFERROR(AVERAGE(IF((OutputTable[GroupByKey]=OutputTable[[#This Row],[GroupByKey]]),(OutputTable[GroupByKey]=OutputTable[[#This Row],[GroupByKey]])*OutputTable[RecordedValue])),0)</f>
        <v>287</v>
      </c>
      <c r="L85" s="5" cm="1">
        <f t="array" ref="L85">IFERROR(_xlfn.STDEV.S(IF((OutputTable[GroupByKey]=OutputTable[[#This Row],[GroupByKey]]),(OutputTable[GroupByKey]=OutputTable[[#This Row],[GroupByKey]])*OutputTable[RecordedValue])),0)</f>
        <v>9.3452305125841235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85" s="5" cm="1">
        <f t="array" ref="O85">MIN(IF((OutputTable[GroupByKey]=OutputTable[[#This Row],[GroupByKey]]),(OutputTable[GroupByKey]=OutputTable[[#This Row],[GroupByKey]])*OutputTable[RecordedValue]))</f>
        <v>276</v>
      </c>
      <c r="P85" s="5" cm="1">
        <f t="array" ref="P85">MAX(IF((OutputTable[GroupByKey]=OutputTable[[#This Row],[GroupByKey]]),(OutputTable[GroupByKey]=OutputTable[[#This Row],[GroupByKey]])*OutputTable[RecordedValue]))</f>
        <v>297</v>
      </c>
    </row>
    <row r="86" spans="1:16" x14ac:dyDescent="0.25">
      <c r="A86" t="s">
        <v>68</v>
      </c>
      <c r="B86" t="s">
        <v>70</v>
      </c>
      <c r="C86">
        <v>2</v>
      </c>
      <c r="D86" t="s">
        <v>149</v>
      </c>
      <c r="E86" t="s">
        <v>118</v>
      </c>
      <c r="F86" t="s">
        <v>86</v>
      </c>
      <c r="G86">
        <v>182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</v>
      </c>
      <c r="K86" s="5" cm="1">
        <f t="array" ref="K86">IFERROR(AVERAGE(IF((OutputTable[GroupByKey]=OutputTable[[#This Row],[GroupByKey]]),(OutputTable[GroupByKey]=OutputTable[[#This Row],[GroupByKey]])*OutputTable[RecordedValue])),0)</f>
        <v>179.25</v>
      </c>
      <c r="L86" s="5" cm="1">
        <f t="array" ref="L86">IFERROR(_xlfn.STDEV.S(IF((OutputTable[GroupByKey]=OutputTable[[#This Row],[GroupByKey]]),(OutputTable[GroupByKey]=OutputTable[[#This Row],[GroupByKey]])*OutputTable[RecordedValue])),0)</f>
        <v>5.315072906367325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86" s="5" cm="1">
        <f t="array" ref="O86">MIN(IF((OutputTable[GroupByKey]=OutputTable[[#This Row],[GroupByKey]]),(OutputTable[GroupByKey]=OutputTable[[#This Row],[GroupByKey]])*OutputTable[RecordedValue]))</f>
        <v>173</v>
      </c>
      <c r="P86" s="5" cm="1">
        <f t="array" ref="P86">MAX(IF((OutputTable[GroupByKey]=OutputTable[[#This Row],[GroupByKey]]),(OutputTable[GroupByKey]=OutputTable[[#This Row],[GroupByKey]])*OutputTable[RecordedValue]))</f>
        <v>185</v>
      </c>
    </row>
    <row r="87" spans="1:16" x14ac:dyDescent="0.25">
      <c r="A87" t="s">
        <v>68</v>
      </c>
      <c r="B87" t="s">
        <v>70</v>
      </c>
      <c r="C87">
        <v>2</v>
      </c>
      <c r="D87" t="s">
        <v>150</v>
      </c>
      <c r="E87" t="s">
        <v>112</v>
      </c>
      <c r="F87" t="s">
        <v>73</v>
      </c>
      <c r="G87">
        <v>6.9188179326087598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AnalysisExtra Bag Check Accum VA CostAccum VA CostProcess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</v>
      </c>
      <c r="K87" s="5" cm="1">
        <f t="array" ref="K87">IFERROR(AVERAGE(IF((OutputTable[GroupByKey]=OutputTable[[#This Row],[GroupByKey]]),(OutputTable[GroupByKey]=OutputTable[[#This Row],[GroupByKey]])*OutputTable[RecordedValue])),0)</f>
        <v>6.6317073247458076</v>
      </c>
      <c r="L87" s="5" cm="1">
        <f t="array" ref="L87">IFERROR(_xlfn.STDEV.S(IF((OutputTable[GroupByKey]=OutputTable[[#This Row],[GroupByKey]]),(OutputTable[GroupByKey]=OutputTable[[#This Row],[GroupByKey]])*OutputTable[RecordedValue])),0)</f>
        <v>3.4431401159439399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87" s="5" cm="1">
        <f t="array" ref="O87">MIN(IF((OutputTable[GroupByKey]=OutputTable[[#This Row],[GroupByKey]]),(OutputTable[GroupByKey]=OutputTable[[#This Row],[GroupByKey]])*OutputTable[RecordedValue]))</f>
        <v>3.8705214634162899</v>
      </c>
      <c r="P87" s="5" cm="1">
        <f t="array" ref="P87">MAX(IF((OutputTable[GroupByKey]=OutputTable[[#This Row],[GroupByKey]]),(OutputTable[GroupByKey]=OutputTable[[#This Row],[GroupByKey]])*OutputTable[RecordedValue]))</f>
        <v>11.390004494043801</v>
      </c>
    </row>
    <row r="88" spans="1:16" x14ac:dyDescent="0.25">
      <c r="A88" t="s">
        <v>68</v>
      </c>
      <c r="B88" t="s">
        <v>70</v>
      </c>
      <c r="C88">
        <v>2</v>
      </c>
      <c r="D88" t="s">
        <v>151</v>
      </c>
      <c r="E88" t="s">
        <v>114</v>
      </c>
      <c r="F88" t="s">
        <v>73</v>
      </c>
      <c r="G88">
        <v>34.594089663043803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AnalysisExtra Bag Check Accum VA TimeAccum VA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</v>
      </c>
      <c r="K88" s="5" cm="1">
        <f t="array" ref="K88">IFERROR(AVERAGE(IF((OutputTable[GroupByKey]=OutputTable[[#This Row],[GroupByKey]]),(OutputTable[GroupByKey]=OutputTable[[#This Row],[GroupByKey]])*OutputTable[RecordedValue])),0)</f>
        <v>33.158536623728978</v>
      </c>
      <c r="L88" s="5" cm="1">
        <f t="array" ref="L88">IFERROR(_xlfn.STDEV.S(IF((OutputTable[GroupByKey]=OutputTable[[#This Row],[GroupByKey]]),(OutputTable[GroupByKey]=OutputTable[[#This Row],[GroupByKey]])*OutputTable[RecordedValue])),0)</f>
        <v>17.21570057971962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27.394021351399644</v>
      </c>
      <c r="O88" s="5" cm="1">
        <f t="array" ref="O88">MIN(IF((OutputTable[GroupByKey]=OutputTable[[#This Row],[GroupByKey]]),(OutputTable[GroupByKey]=OutputTable[[#This Row],[GroupByKey]])*OutputTable[RecordedValue]))</f>
        <v>19.3526073170814</v>
      </c>
      <c r="P88" s="5" cm="1">
        <f t="array" ref="P88">MAX(IF((OutputTable[GroupByKey]=OutputTable[[#This Row],[GroupByKey]]),(OutputTable[GroupByKey]=OutputTable[[#This Row],[GroupByKey]])*OutputTable[RecordedValue]))</f>
        <v>56.950022470218798</v>
      </c>
    </row>
    <row r="89" spans="1:16" x14ac:dyDescent="0.25">
      <c r="A89" t="s">
        <v>68</v>
      </c>
      <c r="B89" t="s">
        <v>70</v>
      </c>
      <c r="C89">
        <v>2</v>
      </c>
      <c r="D89" t="s">
        <v>152</v>
      </c>
      <c r="E89" t="s">
        <v>141</v>
      </c>
      <c r="F89" t="s">
        <v>73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AnalysisExtra Bag Check Accum Wait CostAccum Wait CostProcess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25">
      <c r="A90" t="s">
        <v>68</v>
      </c>
      <c r="B90" t="s">
        <v>70</v>
      </c>
      <c r="C90">
        <v>2</v>
      </c>
      <c r="D90" t="s">
        <v>153</v>
      </c>
      <c r="E90" t="s">
        <v>143</v>
      </c>
      <c r="F90" t="s">
        <v>73</v>
      </c>
      <c r="G90">
        <v>275.19812426113498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AnalysisExtra Bag Check Accum Wait TimeAccum Wait TimeProcess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</v>
      </c>
      <c r="K90" s="5" cm="1">
        <f t="array" ref="K90">IFERROR(AVERAGE(IF((OutputTable[GroupByKey]=OutputTable[[#This Row],[GroupByKey]]),(OutputTable[GroupByKey]=OutputTable[[#This Row],[GroupByKey]])*OutputTable[RecordedValue])),0)</f>
        <v>176.41164102787997</v>
      </c>
      <c r="L90" s="5" cm="1">
        <f t="array" ref="L90">IFERROR(_xlfn.STDEV.S(IF((OutputTable[GroupByKey]=OutputTable[[#This Row],[GroupByKey]]),(OutputTable[GroupByKey]=OutputTable[[#This Row],[GroupByKey]])*OutputTable[RecordedValue])),0)</f>
        <v>81.720013644737534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130.03477774571456</v>
      </c>
      <c r="O90" s="5" cm="1">
        <f t="array" ref="O90">MIN(IF((OutputTable[GroupByKey]=OutputTable[[#This Row],[GroupByKey]]),(OutputTable[GroupByKey]=OutputTable[[#This Row],[GroupByKey]])*OutputTable[RecordedValue]))</f>
        <v>96.9944662297289</v>
      </c>
      <c r="P90" s="5" cm="1">
        <f t="array" ref="P90">MAX(IF((OutputTable[GroupByKey]=OutputTable[[#This Row],[GroupByKey]]),(OutputTable[GroupByKey]=OutputTable[[#This Row],[GroupByKey]])*OutputTable[RecordedValue]))</f>
        <v>275.19812426113498</v>
      </c>
    </row>
    <row r="91" spans="1:16" x14ac:dyDescent="0.25">
      <c r="A91" t="s">
        <v>68</v>
      </c>
      <c r="B91" t="s">
        <v>70</v>
      </c>
      <c r="C91">
        <v>2</v>
      </c>
      <c r="D91" t="s">
        <v>154</v>
      </c>
      <c r="E91" t="s">
        <v>116</v>
      </c>
      <c r="F91" t="s">
        <v>73</v>
      </c>
      <c r="G91">
        <v>5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AnalysisExtra Bag Check Number InNumber InProcess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</v>
      </c>
      <c r="K91" s="5" cm="1">
        <f t="array" ref="K91">IFERROR(AVERAGE(IF((OutputTable[GroupByKey]=OutputTable[[#This Row],[GroupByKey]]),(OutputTable[GroupByKey]=OutputTable[[#This Row],[GroupByKey]])*OutputTable[RecordedValue])),0)</f>
        <v>3.75</v>
      </c>
      <c r="L91" s="5" cm="1">
        <f t="array" ref="L91">IFERROR(_xlfn.STDEV.S(IF((OutputTable[GroupByKey]=OutputTable[[#This Row],[GroupByKey]]),(OutputTable[GroupByKey]=OutputTable[[#This Row],[GroupByKey]])*OutputTable[RecordedValue])),0)</f>
        <v>1.2583057392117916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2.0022452253359253</v>
      </c>
      <c r="O91" s="5" cm="1">
        <f t="array" ref="O91">MIN(IF((OutputTable[GroupByKey]=OutputTable[[#This Row],[GroupByKey]]),(OutputTable[GroupByKey]=OutputTable[[#This Row],[GroupByKey]])*OutputTable[RecordedValue]))</f>
        <v>2</v>
      </c>
      <c r="P91" s="5" cm="1">
        <f t="array" ref="P91">MAX(IF((OutputTable[GroupByKey]=OutputTable[[#This Row],[GroupByKey]]),(OutputTable[GroupByKey]=OutputTable[[#This Row],[GroupByKey]])*OutputTable[RecordedValue]))</f>
        <v>5</v>
      </c>
    </row>
    <row r="92" spans="1:16" x14ac:dyDescent="0.25">
      <c r="A92" t="s">
        <v>68</v>
      </c>
      <c r="B92" t="s">
        <v>70</v>
      </c>
      <c r="C92">
        <v>2</v>
      </c>
      <c r="D92" t="s">
        <v>155</v>
      </c>
      <c r="E92" t="s">
        <v>118</v>
      </c>
      <c r="F92" t="s">
        <v>73</v>
      </c>
      <c r="G92">
        <v>4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AnalysisExtra Bag Check Number OutNumber OutProcess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</v>
      </c>
      <c r="K92" s="5" cm="1">
        <f t="array" ref="K92">IFERROR(AVERAGE(IF((OutputTable[GroupByKey]=OutputTable[[#This Row],[GroupByKey]]),(OutputTable[GroupByKey]=OutputTable[[#This Row],[GroupByKey]])*OutputTable[RecordedValue])),0)</f>
        <v>3</v>
      </c>
      <c r="L92" s="5" cm="1">
        <f t="array" ref="L92">IFERROR(_xlfn.STDEV.S(IF((OutputTable[GroupByKey]=OutputTable[[#This Row],[GroupByKey]]),(OutputTable[GroupByKey]=OutputTable[[#This Row],[GroupByKey]])*OutputTable[RecordedValue])),0)</f>
        <v>0.81649658092772603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92" s="5" cm="1">
        <f t="array" ref="O92">MIN(IF((OutputTable[GroupByKey]=OutputTable[[#This Row],[GroupByKey]]),(OutputTable[GroupByKey]=OutputTable[[#This Row],[GroupByKey]])*OutputTable[RecordedValue]))</f>
        <v>2</v>
      </c>
      <c r="P92" s="5" cm="1">
        <f t="array" ref="P92">MAX(IF((OutputTable[GroupByKey]=OutputTable[[#This Row],[GroupByKey]]),(OutputTable[GroupByKey]=OutputTable[[#This Row],[GroupByKey]])*OutputTable[RecordedValue]))</f>
        <v>4</v>
      </c>
    </row>
    <row r="93" spans="1:16" x14ac:dyDescent="0.25">
      <c r="A93" t="s">
        <v>68</v>
      </c>
      <c r="B93" t="s">
        <v>70</v>
      </c>
      <c r="C93">
        <v>2</v>
      </c>
      <c r="D93" t="s">
        <v>156</v>
      </c>
      <c r="E93" t="s">
        <v>120</v>
      </c>
      <c r="F93" t="s">
        <v>73</v>
      </c>
      <c r="G93">
        <v>6.9188179326087598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AnalysisExtra Bag Check Total Accum CostTotal Accum CostProcess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</v>
      </c>
      <c r="K93" s="5" cm="1">
        <f t="array" ref="K93">IFERROR(AVERAGE(IF((OutputTable[GroupByKey]=OutputTable[[#This Row],[GroupByKey]]),(OutputTable[GroupByKey]=OutputTable[[#This Row],[GroupByKey]])*OutputTable[RecordedValue])),0)</f>
        <v>6.6317073247458076</v>
      </c>
      <c r="L93" s="5" cm="1">
        <f t="array" ref="L93">IFERROR(_xlfn.STDEV.S(IF((OutputTable[GroupByKey]=OutputTable[[#This Row],[GroupByKey]]),(OutputTable[GroupByKey]=OutputTable[[#This Row],[GroupByKey]])*OutputTable[RecordedValue])),0)</f>
        <v>3.4431401159439399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93" s="5" cm="1">
        <f t="array" ref="O93">MIN(IF((OutputTable[GroupByKey]=OutputTable[[#This Row],[GroupByKey]]),(OutputTable[GroupByKey]=OutputTable[[#This Row],[GroupByKey]])*OutputTable[RecordedValue]))</f>
        <v>3.8705214634162899</v>
      </c>
      <c r="P93" s="5" cm="1">
        <f t="array" ref="P93">MAX(IF((OutputTable[GroupByKey]=OutputTable[[#This Row],[GroupByKey]]),(OutputTable[GroupByKey]=OutputTable[[#This Row],[GroupByKey]])*OutputTable[RecordedValue]))</f>
        <v>11.390004494043801</v>
      </c>
    </row>
    <row r="94" spans="1:16" x14ac:dyDescent="0.25">
      <c r="A94" t="s">
        <v>68</v>
      </c>
      <c r="B94" t="s">
        <v>70</v>
      </c>
      <c r="C94">
        <v>2</v>
      </c>
      <c r="D94" t="s">
        <v>157</v>
      </c>
      <c r="E94" t="s">
        <v>122</v>
      </c>
      <c r="F94" t="s">
        <v>73</v>
      </c>
      <c r="G94">
        <v>309.79221392417901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AnalysisExtra Bag Check Total Accum TimeTotal Accum TimeProcess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</v>
      </c>
      <c r="K94" s="5" cm="1">
        <f t="array" ref="K94">IFERROR(AVERAGE(IF((OutputTable[GroupByKey]=OutputTable[[#This Row],[GroupByKey]]),(OutputTable[GroupByKey]=OutputTable[[#This Row],[GroupByKey]])*OutputTable[RecordedValue])),0)</f>
        <v>209.57017765160899</v>
      </c>
      <c r="L94" s="5" cm="1">
        <f t="array" ref="L94">IFERROR(_xlfn.STDEV.S(IF((OutputTable[GroupByKey]=OutputTable[[#This Row],[GroupByKey]]),(OutputTable[GroupByKey]=OutputTable[[#This Row],[GroupByKey]])*OutputTable[RecordedValue])),0)</f>
        <v>81.85027903248286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130.24205904668281</v>
      </c>
      <c r="O94" s="5" cm="1">
        <f t="array" ref="O94">MIN(IF((OutputTable[GroupByKey]=OutputTable[[#This Row],[GroupByKey]]),(OutputTable[GroupByKey]=OutputTable[[#This Row],[GroupByKey]])*OutputTable[RecordedValue]))</f>
        <v>116.34707354680999</v>
      </c>
      <c r="P94" s="5" cm="1">
        <f t="array" ref="P94">MAX(IF((OutputTable[GroupByKey]=OutputTable[[#This Row],[GroupByKey]]),(OutputTable[GroupByKey]=OutputTable[[#This Row],[GroupByKey]])*OutputTable[RecordedValue]))</f>
        <v>309.79221392417901</v>
      </c>
    </row>
    <row r="95" spans="1:16" x14ac:dyDescent="0.25">
      <c r="A95" t="s">
        <v>68</v>
      </c>
      <c r="B95" t="s">
        <v>70</v>
      </c>
      <c r="C95">
        <v>2</v>
      </c>
      <c r="D95" t="s">
        <v>158</v>
      </c>
      <c r="E95" t="s">
        <v>132</v>
      </c>
      <c r="F95" t="s">
        <v>106</v>
      </c>
      <c r="G95">
        <v>0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</v>
      </c>
      <c r="K95" s="5" cm="1">
        <f t="array" ref="K95">IFERROR(AVERAGE(IF((OutputTable[GroupByKey]=OutputTable[[#This Row],[GroupByKey]]),(OutputTable[GroupByKey]=OutputTable[[#This Row],[GroupByKey]])*OutputTable[RecordedValue])),0)</f>
        <v>0</v>
      </c>
      <c r="L95" s="5" cm="1">
        <f t="array" ref="L95">IFERROR(_xlfn.STDEV.S(IF((OutputTable[GroupByKey]=OutputTable[[#This Row],[GroupByKey]]),(OutputTable[GroupByKey]=OutputTable[[#This Row],[GroupByKey]])*OutputTable[RecordedValue])),0)</f>
        <v>0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" s="5" cm="1">
        <f t="array" ref="O95">MIN(IF((OutputTable[GroupByKey]=OutputTable[[#This Row],[GroupByKey]]),(OutputTable[GroupByKey]=OutputTable[[#This Row],[GroupByKey]])*OutputTable[RecordedValue]))</f>
        <v>0</v>
      </c>
      <c r="P95" s="5" cm="1">
        <f t="array" ref="P95">MAX(IF((OutputTable[GroupByKey]=OutputTable[[#This Row],[GroupByKey]]),(OutputTable[GroupByKey]=OutputTable[[#This Row],[GroupByKey]])*OutputTable[RecordedValue]))</f>
        <v>0</v>
      </c>
    </row>
    <row r="96" spans="1:16" x14ac:dyDescent="0.25">
      <c r="A96" t="s">
        <v>68</v>
      </c>
      <c r="B96" t="s">
        <v>70</v>
      </c>
      <c r="C96">
        <v>2</v>
      </c>
      <c r="D96" t="s">
        <v>159</v>
      </c>
      <c r="E96" t="s">
        <v>134</v>
      </c>
      <c r="F96" t="s">
        <v>106</v>
      </c>
      <c r="G96">
        <v>0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</v>
      </c>
      <c r="K96" s="5" cm="1">
        <f t="array" ref="K96">IFERROR(AVERAGE(IF((OutputTable[GroupByKey]=OutputTable[[#This Row],[GroupByKey]]),(OutputTable[GroupByKey]=OutputTable[[#This Row],[GroupByKey]])*OutputTable[RecordedValue])),0)</f>
        <v>0</v>
      </c>
      <c r="L96" s="5" cm="1">
        <f t="array" ref="L96">IFERROR(_xlfn.STDEV.S(IF((OutputTable[GroupByKey]=OutputTable[[#This Row],[GroupByKey]]),(OutputTable[GroupByKey]=OutputTable[[#This Row],[GroupByKey]])*OutputTable[RecordedValue])),0)</f>
        <v>0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" s="5" cm="1">
        <f t="array" ref="O96">MIN(IF((OutputTable[GroupByKey]=OutputTable[[#This Row],[GroupByKey]]),(OutputTable[GroupByKey]=OutputTable[[#This Row],[GroupByKey]])*OutputTable[RecordedValue]))</f>
        <v>0</v>
      </c>
      <c r="P96" s="5" cm="1">
        <f t="array" ref="P96">MAX(IF((OutputTable[GroupByKey]=OutputTable[[#This Row],[GroupByKey]]),(OutputTable[GroupByKey]=OutputTable[[#This Row],[GroupByKey]])*OutputTable[RecordedValue]))</f>
        <v>0</v>
      </c>
    </row>
    <row r="97" spans="1:16" x14ac:dyDescent="0.25">
      <c r="A97" t="s">
        <v>68</v>
      </c>
      <c r="B97" t="s">
        <v>70</v>
      </c>
      <c r="C97">
        <v>2</v>
      </c>
      <c r="D97" t="s">
        <v>160</v>
      </c>
      <c r="E97" t="s">
        <v>161</v>
      </c>
      <c r="F97" t="s">
        <v>106</v>
      </c>
      <c r="G97">
        <v>4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</v>
      </c>
      <c r="K97" s="5" cm="1">
        <f t="array" ref="K97">IFERROR(AVERAGE(IF((OutputTable[GroupByKey]=OutputTable[[#This Row],[GroupByKey]]),(OutputTable[GroupByKey]=OutputTable[[#This Row],[GroupByKey]])*OutputTable[RecordedValue])),0)</f>
        <v>3</v>
      </c>
      <c r="L97" s="5" cm="1">
        <f t="array" ref="L97">IFERROR(_xlfn.STDEV.S(IF((OutputTable[GroupByKey]=OutputTable[[#This Row],[GroupByKey]]),(OutputTable[GroupByKey]=OutputTable[[#This Row],[GroupByKey]])*OutputTable[RecordedValue])),0)</f>
        <v>0.81649658092772603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97" s="5" cm="1">
        <f t="array" ref="O97">MIN(IF((OutputTable[GroupByKey]=OutputTable[[#This Row],[GroupByKey]]),(OutputTable[GroupByKey]=OutputTable[[#This Row],[GroupByKey]])*OutputTable[RecordedValue]))</f>
        <v>2</v>
      </c>
      <c r="P97" s="5" cm="1">
        <f t="array" ref="P97">MAX(IF((OutputTable[GroupByKey]=OutputTable[[#This Row],[GroupByKey]]),(OutputTable[GroupByKey]=OutputTable[[#This Row],[GroupByKey]])*OutputTable[RecordedValue]))</f>
        <v>4</v>
      </c>
    </row>
    <row r="98" spans="1:16" x14ac:dyDescent="0.25">
      <c r="A98" t="s">
        <v>68</v>
      </c>
      <c r="B98" t="s">
        <v>70</v>
      </c>
      <c r="C98">
        <v>2</v>
      </c>
      <c r="D98" t="s">
        <v>162</v>
      </c>
      <c r="E98" t="s">
        <v>163</v>
      </c>
      <c r="F98" t="s">
        <v>106</v>
      </c>
      <c r="G98">
        <v>6.4063129005636696E-2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</v>
      </c>
      <c r="K98" s="5" cm="1">
        <f t="array" ref="K98">IFERROR(AVERAGE(IF((OutputTable[GroupByKey]=OutputTable[[#This Row],[GroupByKey]]),(OutputTable[GroupByKey]=OutputTable[[#This Row],[GroupByKey]])*OutputTable[RecordedValue])),0)</f>
        <v>6.1404697451349924E-2</v>
      </c>
      <c r="L98" s="5" cm="1">
        <f t="array" ref="L98">IFERROR(_xlfn.STDEV.S(IF((OutputTable[GroupByKey]=OutputTable[[#This Row],[GroupByKey]]),(OutputTable[GroupByKey]=OutputTable[[#This Row],[GroupByKey]])*OutputTable[RecordedValue])),0)</f>
        <v>3.1880926999480634E-2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5.0729669169258376E-2</v>
      </c>
      <c r="O98" s="5" cm="1">
        <f t="array" ref="O98">MIN(IF((OutputTable[GroupByKey]=OutputTable[[#This Row],[GroupByKey]]),(OutputTable[GroupByKey]=OutputTable[[#This Row],[GroupByKey]])*OutputTable[RecordedValue]))</f>
        <v>3.5838161698299002E-2</v>
      </c>
      <c r="P98" s="5" cm="1">
        <f t="array" ref="P98">MAX(IF((OutputTable[GroupByKey]=OutputTable[[#This Row],[GroupByKey]]),(OutputTable[GroupByKey]=OutputTable[[#This Row],[GroupByKey]])*OutputTable[RecordedValue]))</f>
        <v>0.10546300457447901</v>
      </c>
    </row>
    <row r="99" spans="1:16" x14ac:dyDescent="0.25">
      <c r="A99" t="s">
        <v>68</v>
      </c>
      <c r="B99" t="s">
        <v>70</v>
      </c>
      <c r="C99">
        <v>2</v>
      </c>
      <c r="D99" t="s">
        <v>164</v>
      </c>
      <c r="E99" t="s">
        <v>137</v>
      </c>
      <c r="F99" t="s">
        <v>106</v>
      </c>
      <c r="G99">
        <v>0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</v>
      </c>
      <c r="K99" s="5" cm="1">
        <f t="array" ref="K99">IFERROR(AVERAGE(IF((OutputTable[GroupByKey]=OutputTable[[#This Row],[GroupByKey]]),(OutputTable[GroupByKey]=OutputTable[[#This Row],[GroupByKey]])*OutputTable[RecordedValue])),0)</f>
        <v>0</v>
      </c>
      <c r="L99" s="5" cm="1">
        <f t="array" ref="L99">IFERROR(_xlfn.STDEV.S(IF((OutputTable[GroupByKey]=OutputTable[[#This Row],[GroupByKey]]),(OutputTable[GroupByKey]=OutputTable[[#This Row],[GroupByKey]])*OutputTable[RecordedValue])),0)</f>
        <v>0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" s="5" cm="1">
        <f t="array" ref="O99">MIN(IF((OutputTable[GroupByKey]=OutputTable[[#This Row],[GroupByKey]]),(OutputTable[GroupByKey]=OutputTable[[#This Row],[GroupByKey]])*OutputTable[RecordedValue]))</f>
        <v>0</v>
      </c>
      <c r="P99" s="5" cm="1">
        <f t="array" ref="P99">MAX(IF((OutputTable[GroupByKey]=OutputTable[[#This Row],[GroupByKey]]),(OutputTable[GroupByKey]=OutputTable[[#This Row],[GroupByKey]])*OutputTable[RecordedValue]))</f>
        <v>0</v>
      </c>
    </row>
    <row r="100" spans="1:16" x14ac:dyDescent="0.25">
      <c r="A100" t="s">
        <v>68</v>
      </c>
      <c r="B100" t="s">
        <v>70</v>
      </c>
      <c r="C100">
        <v>2</v>
      </c>
      <c r="D100" t="s">
        <v>165</v>
      </c>
      <c r="E100" t="s">
        <v>118</v>
      </c>
      <c r="F100" t="s">
        <v>124</v>
      </c>
      <c r="G100">
        <v>182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</v>
      </c>
      <c r="K100" s="5" cm="1">
        <f t="array" ref="K100">IFERROR(AVERAGE(IF((OutputTable[GroupByKey]=OutputTable[[#This Row],[GroupByKey]]),(OutputTable[GroupByKey]=OutputTable[[#This Row],[GroupByKey]])*OutputTable[RecordedValue])),0)</f>
        <v>179.25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5.315072906367325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100" s="5" cm="1">
        <f t="array" ref="O100">MIN(IF((OutputTable[GroupByKey]=OutputTable[[#This Row],[GroupByKey]]),(OutputTable[GroupByKey]=OutputTable[[#This Row],[GroupByKey]])*OutputTable[RecordedValue]))</f>
        <v>173</v>
      </c>
      <c r="P100" s="5" cm="1">
        <f t="array" ref="P100">MAX(IF((OutputTable[GroupByKey]=OutputTable[[#This Row],[GroupByKey]]),(OutputTable[GroupByKey]=OutputTable[[#This Row],[GroupByKey]])*OutputTable[RecordedValue]))</f>
        <v>185</v>
      </c>
    </row>
    <row r="101" spans="1:16" x14ac:dyDescent="0.25">
      <c r="A101" t="s">
        <v>68</v>
      </c>
      <c r="B101" t="s">
        <v>70</v>
      </c>
      <c r="C101">
        <v>2</v>
      </c>
      <c r="D101" t="s">
        <v>166</v>
      </c>
      <c r="E101" t="s">
        <v>90</v>
      </c>
      <c r="F101" t="s">
        <v>124</v>
      </c>
      <c r="G101">
        <v>214.44626288468001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</v>
      </c>
      <c r="K101" s="5" cm="1">
        <f t="array" ref="K101">IFERROR(AVERAGE(IF((OutputTable[GroupByKey]=OutputTable[[#This Row],[GroupByKey]]),(OutputTable[GroupByKey]=OutputTable[[#This Row],[GroupByKey]])*OutputTable[RecordedValue])),0)</f>
        <v>215.01546404320951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0.64228161231094227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101" s="5" cm="1">
        <f t="array" ref="O101">MIN(IF((OutputTable[GroupByKey]=OutputTable[[#This Row],[GroupByKey]]),(OutputTable[GroupByKey]=OutputTable[[#This Row],[GroupByKey]])*OutputTable[RecordedValue]))</f>
        <v>214.44626288468001</v>
      </c>
      <c r="P101" s="5" cm="1">
        <f t="array" ref="P101">MAX(IF((OutputTable[GroupByKey]=OutputTable[[#This Row],[GroupByKey]]),(OutputTable[GroupByKey]=OutputTable[[#This Row],[GroupByKey]])*OutputTable[RecordedValue]))</f>
        <v>215.71818218685601</v>
      </c>
    </row>
    <row r="102" spans="1:16" x14ac:dyDescent="0.25">
      <c r="A102" t="s">
        <v>68</v>
      </c>
      <c r="B102" t="s">
        <v>70</v>
      </c>
      <c r="C102">
        <v>2</v>
      </c>
      <c r="D102" t="s">
        <v>167</v>
      </c>
      <c r="E102" t="s">
        <v>132</v>
      </c>
      <c r="F102" t="s">
        <v>106</v>
      </c>
      <c r="G102">
        <v>213.023211834509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</v>
      </c>
      <c r="K102" s="5" cm="1">
        <f t="array" ref="K102">IFERROR(AVERAGE(IF((OutputTable[GroupByKey]=OutputTable[[#This Row],[GroupByKey]]),(OutputTable[GroupByKey]=OutputTable[[#This Row],[GroupByKey]])*OutputTable[RecordedValue])),0)</f>
        <v>210.78541398558849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4.3015506850385421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02" s="5" cm="1">
        <f t="array" ref="O102">MIN(IF((OutputTable[GroupByKey]=OutputTable[[#This Row],[GroupByKey]]),(OutputTable[GroupByKey]=OutputTable[[#This Row],[GroupByKey]])*OutputTable[RecordedValue]))</f>
        <v>206.05792548363399</v>
      </c>
      <c r="P102" s="5" cm="1">
        <f t="array" ref="P102">MAX(IF((OutputTable[GroupByKey]=OutputTable[[#This Row],[GroupByKey]]),(OutputTable[GroupByKey]=OutputTable[[#This Row],[GroupByKey]])*OutputTable[RecordedValue]))</f>
        <v>215.56959882430399</v>
      </c>
    </row>
    <row r="103" spans="1:16" x14ac:dyDescent="0.25">
      <c r="A103" t="s">
        <v>68</v>
      </c>
      <c r="B103" t="s">
        <v>70</v>
      </c>
      <c r="C103">
        <v>2</v>
      </c>
      <c r="D103" t="s">
        <v>168</v>
      </c>
      <c r="E103" t="s">
        <v>134</v>
      </c>
      <c r="F103" t="s">
        <v>106</v>
      </c>
      <c r="G103">
        <v>1.42305105017081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</v>
      </c>
      <c r="K103" s="5" cm="1">
        <f t="array" ref="K103">IFERROR(AVERAGE(IF((OutputTable[GroupByKey]=OutputTable[[#This Row],[GroupByKey]]),(OutputTable[GroupByKey]=OutputTable[[#This Row],[GroupByKey]])*OutputTable[RecordedValue])),0)</f>
        <v>4.2300500576210318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4.2363178600656441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103" s="5" cm="1">
        <f t="array" ref="O103">MIN(IF((OutputTable[GroupByKey]=OutputTable[[#This Row],[GroupByKey]]),(OutputTable[GroupByKey]=OutputTable[[#This Row],[GroupByKey]])*OutputTable[RecordedValue]))</f>
        <v>0.14858336255221799</v>
      </c>
      <c r="P103" s="5" cm="1">
        <f t="array" ref="P103">MAX(IF((OutputTable[GroupByKey]=OutputTable[[#This Row],[GroupByKey]]),(OutputTable[GroupByKey]=OutputTable[[#This Row],[GroupByKey]])*OutputTable[RecordedValue]))</f>
        <v>9.34402440928719</v>
      </c>
    </row>
    <row r="104" spans="1:16" x14ac:dyDescent="0.25">
      <c r="A104" t="s">
        <v>68</v>
      </c>
      <c r="B104" t="s">
        <v>70</v>
      </c>
      <c r="C104">
        <v>2</v>
      </c>
      <c r="D104" t="s">
        <v>169</v>
      </c>
      <c r="E104" t="s">
        <v>161</v>
      </c>
      <c r="F104" t="s">
        <v>106</v>
      </c>
      <c r="G104">
        <v>401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</v>
      </c>
      <c r="K104" s="5" cm="1">
        <f t="array" ref="K104">IFERROR(AVERAGE(IF((OutputTable[GroupByKey]=OutputTable[[#This Row],[GroupByKey]]),(OutputTable[GroupByKey]=OutputTable[[#This Row],[GroupByKey]])*OutputTable[RecordedValue])),0)</f>
        <v>401.75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2.9860788111948193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4.7515177399864594</v>
      </c>
      <c r="O104" s="5" cm="1">
        <f t="array" ref="O104">MIN(IF((OutputTable[GroupByKey]=OutputTable[[#This Row],[GroupByKey]]),(OutputTable[GroupByKey]=OutputTable[[#This Row],[GroupByKey]])*OutputTable[RecordedValue]))</f>
        <v>398</v>
      </c>
      <c r="P104" s="5" cm="1">
        <f t="array" ref="P104">MAX(IF((OutputTable[GroupByKey]=OutputTable[[#This Row],[GroupByKey]]),(OutputTable[GroupByKey]=OutputTable[[#This Row],[GroupByKey]])*OutputTable[RecordedValue]))</f>
        <v>405</v>
      </c>
    </row>
    <row r="105" spans="1:16" x14ac:dyDescent="0.25">
      <c r="A105" t="s">
        <v>68</v>
      </c>
      <c r="B105" t="s">
        <v>70</v>
      </c>
      <c r="C105">
        <v>2</v>
      </c>
      <c r="D105" t="s">
        <v>170</v>
      </c>
      <c r="E105" t="s">
        <v>163</v>
      </c>
      <c r="F105" t="s">
        <v>106</v>
      </c>
      <c r="G105">
        <v>0.99341180069365398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</v>
      </c>
      <c r="K105" s="5" cm="1">
        <f t="array" ref="K105">IFERROR(AVERAGE(IF((OutputTable[GroupByKey]=OutputTable[[#This Row],[GroupByKey]]),(OutputTable[GroupByKey]=OutputTable[[#This Row],[GroupByKey]])*OutputTable[RecordedValue])),0)</f>
        <v>0.98041643491842145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1.9612582685488503E-2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3.1207995652252053E-2</v>
      </c>
      <c r="O105" s="5" cm="1">
        <f t="array" ref="O105">MIN(IF((OutputTable[GroupByKey]=OutputTable[[#This Row],[GroupByKey]]),(OutputTable[GroupByKey]=OutputTable[[#This Row],[GroupByKey]])*OutputTable[RecordedValue]))</f>
        <v>0.95674062773478297</v>
      </c>
      <c r="P105" s="5" cm="1">
        <f t="array" ref="P105">MAX(IF((OutputTable[GroupByKey]=OutputTable[[#This Row],[GroupByKey]]),(OutputTable[GroupByKey]=OutputTable[[#This Row],[GroupByKey]])*OutputTable[RecordedValue]))</f>
        <v>0.99931211406225795</v>
      </c>
    </row>
    <row r="106" spans="1:16" x14ac:dyDescent="0.25">
      <c r="A106" t="s">
        <v>68</v>
      </c>
      <c r="B106" t="s">
        <v>70</v>
      </c>
      <c r="C106">
        <v>2</v>
      </c>
      <c r="D106" t="s">
        <v>171</v>
      </c>
      <c r="E106" t="s">
        <v>137</v>
      </c>
      <c r="F106" t="s">
        <v>106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</v>
      </c>
      <c r="K106" s="5" cm="1">
        <f t="array" ref="K106">IFERROR(AVERAGE(IF((OutputTable[GroupByKey]=OutputTable[[#This Row],[GroupByKey]]),(OutputTable[GroupByKey]=OutputTable[[#This Row],[GroupByKey]])*OutputTable[RecordedValue])),0)</f>
        <v>0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25">
      <c r="A107" t="s">
        <v>68</v>
      </c>
      <c r="B107" t="s">
        <v>70</v>
      </c>
      <c r="C107">
        <v>2</v>
      </c>
      <c r="D107" t="s">
        <v>172</v>
      </c>
      <c r="E107" t="s">
        <v>112</v>
      </c>
      <c r="F107" t="s">
        <v>73</v>
      </c>
      <c r="G107">
        <v>129.95253881609599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</v>
      </c>
      <c r="K107" s="5" cm="1">
        <f t="array" ref="K107">IFERROR(AVERAGE(IF((OutputTable[GroupByKey]=OutputTable[[#This Row],[GroupByKey]]),(OutputTable[GroupByKey]=OutputTable[[#This Row],[GroupByKey]])*OutputTable[RecordedValue])),0)</f>
        <v>127.224941282769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4.2482705353357675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107" s="5" cm="1">
        <f t="array" ref="O107">MIN(IF((OutputTable[GroupByKey]=OutputTable[[#This Row],[GroupByKey]]),(OutputTable[GroupByKey]=OutputTable[[#This Row],[GroupByKey]])*OutputTable[RecordedValue]))</f>
        <v>122.526469595731</v>
      </c>
      <c r="P107" s="5" cm="1">
        <f t="array" ref="P107">MAX(IF((OutputTable[GroupByKey]=OutputTable[[#This Row],[GroupByKey]]),(OutputTable[GroupByKey]=OutputTable[[#This Row],[GroupByKey]])*OutputTable[RecordedValue]))</f>
        <v>131.578301359161</v>
      </c>
    </row>
    <row r="108" spans="1:16" x14ac:dyDescent="0.25">
      <c r="A108" t="s">
        <v>68</v>
      </c>
      <c r="B108" t="s">
        <v>70</v>
      </c>
      <c r="C108">
        <v>2</v>
      </c>
      <c r="D108" t="s">
        <v>173</v>
      </c>
      <c r="E108" t="s">
        <v>114</v>
      </c>
      <c r="F108" t="s">
        <v>73</v>
      </c>
      <c r="G108">
        <v>649.76269408048097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</v>
      </c>
      <c r="K108" s="5" cm="1">
        <f t="array" ref="K108">IFERROR(AVERAGE(IF((OutputTable[GroupByKey]=OutputTable[[#This Row],[GroupByKey]]),(OutputTable[GroupByKey]=OutputTable[[#This Row],[GroupByKey]])*OutputTable[RecordedValue])),0)</f>
        <v>636.1247064138455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21.241352676679028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33.799732172562685</v>
      </c>
      <c r="O108" s="5" cm="1">
        <f t="array" ref="O108">MIN(IF((OutputTable[GroupByKey]=OutputTable[[#This Row],[GroupByKey]]),(OutputTable[GroupByKey]=OutputTable[[#This Row],[GroupByKey]])*OutputTable[RecordedValue]))</f>
        <v>612.63234797865698</v>
      </c>
      <c r="P108" s="5" cm="1">
        <f t="array" ref="P108">MAX(IF((OutputTable[GroupByKey]=OutputTable[[#This Row],[GroupByKey]]),(OutputTable[GroupByKey]=OutputTable[[#This Row],[GroupByKey]])*OutputTable[RecordedValue]))</f>
        <v>657.89150679580598</v>
      </c>
    </row>
    <row r="109" spans="1:16" x14ac:dyDescent="0.25">
      <c r="A109" t="s">
        <v>68</v>
      </c>
      <c r="B109" t="s">
        <v>70</v>
      </c>
      <c r="C109">
        <v>2</v>
      </c>
      <c r="D109" t="s">
        <v>174</v>
      </c>
      <c r="E109" t="s">
        <v>141</v>
      </c>
      <c r="F109" t="s">
        <v>73</v>
      </c>
      <c r="G109">
        <v>0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</v>
      </c>
      <c r="K109" s="5" cm="1">
        <f t="array" ref="K109">IFERROR(AVERAGE(IF((OutputTable[GroupByKey]=OutputTable[[#This Row],[GroupByKey]]),(OutputTable[GroupByKey]=OutputTable[[#This Row],[GroupByKey]])*OutputTable[RecordedValue])),0)</f>
        <v>0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25">
      <c r="A110" t="s">
        <v>68</v>
      </c>
      <c r="B110" t="s">
        <v>70</v>
      </c>
      <c r="C110">
        <v>2</v>
      </c>
      <c r="D110" t="s">
        <v>175</v>
      </c>
      <c r="E110" t="s">
        <v>143</v>
      </c>
      <c r="F110" t="s">
        <v>73</v>
      </c>
      <c r="G110">
        <v>13714.2968238091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</v>
      </c>
      <c r="K110" s="5" cm="1">
        <f t="array" ref="K110">IFERROR(AVERAGE(IF((OutputTable[GroupByKey]=OutputTable[[#This Row],[GroupByKey]]),(OutputTable[GroupByKey]=OutputTable[[#This Row],[GroupByKey]])*OutputTable[RecordedValue])),0)</f>
        <v>10257.343173692567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2550.6385043783166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4058.6350421865682</v>
      </c>
      <c r="O110" s="5" cm="1">
        <f t="array" ref="O110">MIN(IF((OutputTable[GroupByKey]=OutputTable[[#This Row],[GroupByKey]]),(OutputTable[GroupByKey]=OutputTable[[#This Row],[GroupByKey]])*OutputTable[RecordedValue]))</f>
        <v>7661.1563493536996</v>
      </c>
      <c r="P110" s="5" cm="1">
        <f t="array" ref="P110">MAX(IF((OutputTable[GroupByKey]=OutputTable[[#This Row],[GroupByKey]]),(OutputTable[GroupByKey]=OutputTable[[#This Row],[GroupByKey]])*OutputTable[RecordedValue]))</f>
        <v>13714.2968238091</v>
      </c>
    </row>
    <row r="111" spans="1:16" x14ac:dyDescent="0.25">
      <c r="A111" t="s">
        <v>68</v>
      </c>
      <c r="B111" t="s">
        <v>70</v>
      </c>
      <c r="C111">
        <v>2</v>
      </c>
      <c r="D111" t="s">
        <v>176</v>
      </c>
      <c r="E111" t="s">
        <v>116</v>
      </c>
      <c r="F111" t="s">
        <v>73</v>
      </c>
      <c r="G111">
        <v>211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</v>
      </c>
      <c r="K111" s="5" cm="1">
        <f t="array" ref="K111">IFERROR(AVERAGE(IF((OutputTable[GroupByKey]=OutputTable[[#This Row],[GroupByKey]]),(OutputTable[GroupByKey]=OutputTable[[#This Row],[GroupByKey]])*OutputTable[RecordedValue])),0)</f>
        <v>216.25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9.1787798753429097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14.605487050648748</v>
      </c>
      <c r="O111" s="5" cm="1">
        <f t="array" ref="O111">MIN(IF((OutputTable[GroupByKey]=OutputTable[[#This Row],[GroupByKey]]),(OutputTable[GroupByKey]=OutputTable[[#This Row],[GroupByKey]])*OutputTable[RecordedValue]))</f>
        <v>206</v>
      </c>
      <c r="P111" s="5" cm="1">
        <f t="array" ref="P111">MAX(IF((OutputTable[GroupByKey]=OutputTable[[#This Row],[GroupByKey]]),(OutputTable[GroupByKey]=OutputTable[[#This Row],[GroupByKey]])*OutputTable[RecordedValue]))</f>
        <v>224</v>
      </c>
    </row>
    <row r="112" spans="1:16" x14ac:dyDescent="0.25">
      <c r="A112" t="s">
        <v>68</v>
      </c>
      <c r="B112" t="s">
        <v>70</v>
      </c>
      <c r="C112">
        <v>2</v>
      </c>
      <c r="D112" t="s">
        <v>177</v>
      </c>
      <c r="E112" t="s">
        <v>118</v>
      </c>
      <c r="F112" t="s">
        <v>73</v>
      </c>
      <c r="G112">
        <v>178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</v>
      </c>
      <c r="K112" s="5" cm="1">
        <f t="array" ref="K112">IFERROR(AVERAGE(IF((OutputTable[GroupByKey]=OutputTable[[#This Row],[GroupByKey]]),(OutputTable[GroupByKey]=OutputTable[[#This Row],[GroupByKey]])*OutputTable[RecordedValue])),0)</f>
        <v>172.75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6.7019897542943667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10.664361265801686</v>
      </c>
      <c r="O112" s="5" cm="1">
        <f t="array" ref="O112">MIN(IF((OutputTable[GroupByKey]=OutputTable[[#This Row],[GroupByKey]]),(OutputTable[GroupByKey]=OutputTable[[#This Row],[GroupByKey]])*OutputTable[RecordedValue]))</f>
        <v>166</v>
      </c>
      <c r="P112" s="5" cm="1">
        <f t="array" ref="P112">MAX(IF((OutputTable[GroupByKey]=OutputTable[[#This Row],[GroupByKey]]),(OutputTable[GroupByKey]=OutputTable[[#This Row],[GroupByKey]])*OutputTable[RecordedValue]))</f>
        <v>179</v>
      </c>
    </row>
    <row r="113" spans="1:16" x14ac:dyDescent="0.25">
      <c r="A113" t="s">
        <v>68</v>
      </c>
      <c r="B113" t="s">
        <v>70</v>
      </c>
      <c r="C113">
        <v>2</v>
      </c>
      <c r="D113" t="s">
        <v>178</v>
      </c>
      <c r="E113" t="s">
        <v>120</v>
      </c>
      <c r="F113" t="s">
        <v>73</v>
      </c>
      <c r="G113">
        <v>129.95253881609599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</v>
      </c>
      <c r="K113" s="5" cm="1">
        <f t="array" ref="K113">IFERROR(AVERAGE(IF((OutputTable[GroupByKey]=OutputTable[[#This Row],[GroupByKey]]),(OutputTable[GroupByKey]=OutputTable[[#This Row],[GroupByKey]])*OutputTable[RecordedValue])),0)</f>
        <v>127.224941282769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4.2482705353357675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113" s="5" cm="1">
        <f t="array" ref="O113">MIN(IF((OutputTable[GroupByKey]=OutputTable[[#This Row],[GroupByKey]]),(OutputTable[GroupByKey]=OutputTable[[#This Row],[GroupByKey]])*OutputTable[RecordedValue]))</f>
        <v>122.526469595731</v>
      </c>
      <c r="P113" s="5" cm="1">
        <f t="array" ref="P113">MAX(IF((OutputTable[GroupByKey]=OutputTable[[#This Row],[GroupByKey]]),(OutputTable[GroupByKey]=OutputTable[[#This Row],[GroupByKey]])*OutputTable[RecordedValue]))</f>
        <v>131.578301359161</v>
      </c>
    </row>
    <row r="114" spans="1:16" x14ac:dyDescent="0.25">
      <c r="A114" t="s">
        <v>68</v>
      </c>
      <c r="B114" t="s">
        <v>70</v>
      </c>
      <c r="C114">
        <v>2</v>
      </c>
      <c r="D114" t="s">
        <v>179</v>
      </c>
      <c r="E114" t="s">
        <v>122</v>
      </c>
      <c r="F114" t="s">
        <v>73</v>
      </c>
      <c r="G114">
        <v>14364.0595178896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</v>
      </c>
      <c r="K114" s="5" cm="1">
        <f t="array" ref="K114">IFERROR(AVERAGE(IF((OutputTable[GroupByKey]=OutputTable[[#This Row],[GroupByKey]]),(OutputTable[GroupByKey]=OutputTable[[#This Row],[GroupByKey]])*OutputTable[RecordedValue])),0)</f>
        <v>10893.46788010644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2562.1766713466454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4076.9948406056201</v>
      </c>
      <c r="O114" s="5" cm="1">
        <f t="array" ref="O114">MIN(IF((OutputTable[GroupByKey]=OutputTable[[#This Row],[GroupByKey]]),(OutputTable[GroupByKey]=OutputTable[[#This Row],[GroupByKey]])*OutputTable[RecordedValue]))</f>
        <v>8273.7886973323602</v>
      </c>
      <c r="P114" s="5" cm="1">
        <f t="array" ref="P114">MAX(IF((OutputTable[GroupByKey]=OutputTable[[#This Row],[GroupByKey]]),(OutputTable[GroupByKey]=OutputTable[[#This Row],[GroupByKey]])*OutputTable[RecordedValue]))</f>
        <v>14364.0595178896</v>
      </c>
    </row>
    <row r="115" spans="1:16" x14ac:dyDescent="0.25">
      <c r="A115" t="s">
        <v>68</v>
      </c>
      <c r="B115" t="s">
        <v>70</v>
      </c>
      <c r="C115">
        <v>2</v>
      </c>
      <c r="D115" t="s">
        <v>180</v>
      </c>
      <c r="E115" t="s">
        <v>132</v>
      </c>
      <c r="F115" t="s">
        <v>106</v>
      </c>
      <c r="G115">
        <v>0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</v>
      </c>
      <c r="K115" s="5" cm="1">
        <f t="array" ref="K115">IFERROR(AVERAGE(IF((OutputTable[GroupByKey]=OutputTable[[#This Row],[GroupByKey]]),(OutputTable[GroupByKey]=OutputTable[[#This Row],[GroupByKey]])*OutputTable[RecordedValue])),0)</f>
        <v>0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" s="5" cm="1">
        <f t="array" ref="O115">MIN(IF((OutputTable[GroupByKey]=OutputTable[[#This Row],[GroupByKey]]),(OutputTable[GroupByKey]=OutputTable[[#This Row],[GroupByKey]])*OutputTable[RecordedValue]))</f>
        <v>0</v>
      </c>
      <c r="P115" s="5" cm="1">
        <f t="array" ref="P115">MAX(IF((OutputTable[GroupByKey]=OutputTable[[#This Row],[GroupByKey]]),(OutputTable[GroupByKey]=OutputTable[[#This Row],[GroupByKey]])*OutputTable[RecordedValue]))</f>
        <v>0</v>
      </c>
    </row>
    <row r="116" spans="1:16" x14ac:dyDescent="0.25">
      <c r="A116" t="s">
        <v>68</v>
      </c>
      <c r="B116" t="s">
        <v>70</v>
      </c>
      <c r="C116">
        <v>2</v>
      </c>
      <c r="D116" t="s">
        <v>181</v>
      </c>
      <c r="E116" t="s">
        <v>134</v>
      </c>
      <c r="F116" t="s">
        <v>106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</v>
      </c>
      <c r="K116" s="5" cm="1">
        <f t="array" ref="K116">IFERROR(AVERAGE(IF((OutputTable[GroupByKey]=OutputTable[[#This Row],[GroupByKey]]),(OutputTable[GroupByKey]=OutputTable[[#This Row],[GroupByKey]])*OutputTable[RecordedValue])),0)</f>
        <v>0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70</v>
      </c>
      <c r="C117">
        <v>2</v>
      </c>
      <c r="D117" t="s">
        <v>182</v>
      </c>
      <c r="E117" t="s">
        <v>161</v>
      </c>
      <c r="F117" t="s">
        <v>106</v>
      </c>
      <c r="G117">
        <v>180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</v>
      </c>
      <c r="K117" s="5" cm="1">
        <f t="array" ref="K117">IFERROR(AVERAGE(IF((OutputTable[GroupByKey]=OutputTable[[#This Row],[GroupByKey]]),(OutputTable[GroupByKey]=OutputTable[[#This Row],[GroupByKey]])*OutputTable[RecordedValue])),0)</f>
        <v>173.75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6.6520673478250352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10.584923576792088</v>
      </c>
      <c r="O117" s="5" cm="1">
        <f t="array" ref="O117">MIN(IF((OutputTable[GroupByKey]=OutputTable[[#This Row],[GroupByKey]]),(OutputTable[GroupByKey]=OutputTable[[#This Row],[GroupByKey]])*OutputTable[RecordedValue]))</f>
        <v>168</v>
      </c>
      <c r="P117" s="5" cm="1">
        <f t="array" ref="P117">MAX(IF((OutputTable[GroupByKey]=OutputTable[[#This Row],[GroupByKey]]),(OutputTable[GroupByKey]=OutputTable[[#This Row],[GroupByKey]])*OutputTable[RecordedValue]))</f>
        <v>180</v>
      </c>
    </row>
    <row r="118" spans="1:16" x14ac:dyDescent="0.25">
      <c r="A118" t="s">
        <v>68</v>
      </c>
      <c r="B118" t="s">
        <v>70</v>
      </c>
      <c r="C118">
        <v>2</v>
      </c>
      <c r="D118" t="s">
        <v>183</v>
      </c>
      <c r="E118" t="s">
        <v>163</v>
      </c>
      <c r="F118" t="s">
        <v>106</v>
      </c>
      <c r="G118">
        <v>0.60882535153433803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</v>
      </c>
      <c r="K118" s="5" cm="1">
        <f t="array" ref="K118">IFERROR(AVERAGE(IF((OutputTable[GroupByKey]=OutputTable[[#This Row],[GroupByKey]]),(OutputTable[GroupByKey]=OutputTable[[#This Row],[GroupByKey]])*OutputTable[RecordedValue])),0)</f>
        <v>0.59254402897918601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2.0319404327018134E-2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3.2332706613042321E-2</v>
      </c>
      <c r="O118" s="5" cm="1">
        <f t="array" ref="O118">MIN(IF((OutputTable[GroupByKey]=OutputTable[[#This Row],[GroupByKey]]),(OutputTable[GroupByKey]=OutputTable[[#This Row],[GroupByKey]])*OutputTable[RecordedValue]))</f>
        <v>0.56725217405431305</v>
      </c>
      <c r="P118" s="5" cm="1">
        <f t="array" ref="P118">MAX(IF((OutputTable[GroupByKey]=OutputTable[[#This Row],[GroupByKey]]),(OutputTable[GroupByKey]=OutputTable[[#This Row],[GroupByKey]])*OutputTable[RecordedValue]))</f>
        <v>0.60915880258870903</v>
      </c>
    </row>
    <row r="119" spans="1:16" x14ac:dyDescent="0.25">
      <c r="A119" t="s">
        <v>68</v>
      </c>
      <c r="B119" t="s">
        <v>70</v>
      </c>
      <c r="C119">
        <v>2</v>
      </c>
      <c r="D119" t="s">
        <v>184</v>
      </c>
      <c r="E119" t="s">
        <v>137</v>
      </c>
      <c r="F119" t="s">
        <v>106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70</v>
      </c>
      <c r="C120">
        <v>3</v>
      </c>
      <c r="D120" t="s">
        <v>111</v>
      </c>
      <c r="E120" t="s">
        <v>112</v>
      </c>
      <c r="F120" t="s">
        <v>73</v>
      </c>
      <c r="G120">
        <v>0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</v>
      </c>
      <c r="K120" s="5" cm="1">
        <f t="array" ref="K120">IFERROR(AVERAGE(IF((OutputTable[GroupByKey]=OutputTable[[#This Row],[GroupByKey]]),(OutputTable[GroupByKey]=OutputTable[[#This Row],[GroupByKey]])*OutputTable[RecordedValue])),0)</f>
        <v>0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" s="5" cm="1">
        <f t="array" ref="O120">MIN(IF((OutputTable[GroupByKey]=OutputTable[[#This Row],[GroupByKey]]),(OutputTable[GroupByKey]=OutputTable[[#This Row],[GroupByKey]])*OutputTable[RecordedValue]))</f>
        <v>0</v>
      </c>
      <c r="P120" s="5" cm="1">
        <f t="array" ref="P120">MAX(IF((OutputTable[GroupByKey]=OutputTable[[#This Row],[GroupByKey]]),(OutputTable[GroupByKey]=OutputTable[[#This Row],[GroupByKey]])*OutputTable[RecordedValue]))</f>
        <v>0</v>
      </c>
    </row>
    <row r="121" spans="1:16" x14ac:dyDescent="0.25">
      <c r="A121" t="s">
        <v>68</v>
      </c>
      <c r="B121" t="s">
        <v>70</v>
      </c>
      <c r="C121">
        <v>3</v>
      </c>
      <c r="D121" t="s">
        <v>113</v>
      </c>
      <c r="E121" t="s">
        <v>114</v>
      </c>
      <c r="F121" t="s">
        <v>73</v>
      </c>
      <c r="G121">
        <v>73.798651806292298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</v>
      </c>
      <c r="K121" s="5" cm="1">
        <f t="array" ref="K121">IFERROR(AVERAGE(IF((OutputTable[GroupByKey]=OutputTable[[#This Row],[GroupByKey]]),(OutputTable[GroupByKey]=OutputTable[[#This Row],[GroupByKey]])*OutputTable[RecordedValue])),0)</f>
        <v>88.003486580679507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10.627944107482914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121" s="5" cm="1">
        <f t="array" ref="O121">MIN(IF((OutputTable[GroupByKey]=OutputTable[[#This Row],[GroupByKey]]),(OutputTable[GroupByKey]=OutputTable[[#This Row],[GroupByKey]])*OutputTable[RecordedValue]))</f>
        <v>73.798651806292298</v>
      </c>
      <c r="P121" s="5" cm="1">
        <f t="array" ref="P121">MAX(IF((OutputTable[GroupByKey]=OutputTable[[#This Row],[GroupByKey]]),(OutputTable[GroupByKey]=OutputTable[[#This Row],[GroupByKey]])*OutputTable[RecordedValue]))</f>
        <v>98.950591933256206</v>
      </c>
    </row>
    <row r="122" spans="1:16" x14ac:dyDescent="0.25">
      <c r="A122" t="s">
        <v>68</v>
      </c>
      <c r="B122" t="s">
        <v>70</v>
      </c>
      <c r="C122">
        <v>3</v>
      </c>
      <c r="D122" t="s">
        <v>115</v>
      </c>
      <c r="E122" t="s">
        <v>116</v>
      </c>
      <c r="F122" t="s">
        <v>73</v>
      </c>
      <c r="G122">
        <v>13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</v>
      </c>
      <c r="K122" s="5" cm="1">
        <f t="array" ref="K122">IFERROR(AVERAGE(IF((OutputTable[GroupByKey]=OutputTable[[#This Row],[GroupByKey]]),(OutputTable[GroupByKey]=OutputTable[[#This Row],[GroupByKey]])*OutputTable[RecordedValue])),0)</f>
        <v>15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1.8257418583505538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2.905162715754765</v>
      </c>
      <c r="O122" s="5" cm="1">
        <f t="array" ref="O122">MIN(IF((OutputTable[GroupByKey]=OutputTable[[#This Row],[GroupByKey]]),(OutputTable[GroupByKey]=OutputTable[[#This Row],[GroupByKey]])*OutputTable[RecordedValue]))</f>
        <v>13</v>
      </c>
      <c r="P122" s="5" cm="1">
        <f t="array" ref="P122">MAX(IF((OutputTable[GroupByKey]=OutputTable[[#This Row],[GroupByKey]]),(OutputTable[GroupByKey]=OutputTable[[#This Row],[GroupByKey]])*OutputTable[RecordedValue]))</f>
        <v>17</v>
      </c>
    </row>
    <row r="123" spans="1:16" x14ac:dyDescent="0.25">
      <c r="A123" t="s">
        <v>68</v>
      </c>
      <c r="B123" t="s">
        <v>70</v>
      </c>
      <c r="C123">
        <v>3</v>
      </c>
      <c r="D123" t="s">
        <v>117</v>
      </c>
      <c r="E123" t="s">
        <v>118</v>
      </c>
      <c r="F123" t="s">
        <v>73</v>
      </c>
      <c r="G123">
        <v>12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</v>
      </c>
      <c r="K123" s="5" cm="1">
        <f t="array" ref="K123">IFERROR(AVERAGE(IF((OutputTable[GroupByKey]=OutputTable[[#This Row],[GroupByKey]]),(OutputTable[GroupByKey]=OutputTable[[#This Row],[GroupByKey]])*OutputTable[RecordedValue])),0)</f>
        <v>14.5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1.9148542155126762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3.0469603616576246</v>
      </c>
      <c r="O123" s="5" cm="1">
        <f t="array" ref="O123">MIN(IF((OutputTable[GroupByKey]=OutputTable[[#This Row],[GroupByKey]]),(OutputTable[GroupByKey]=OutputTable[[#This Row],[GroupByKey]])*OutputTable[RecordedValue]))</f>
        <v>12</v>
      </c>
      <c r="P123" s="5" cm="1">
        <f t="array" ref="P123">MAX(IF((OutputTable[GroupByKey]=OutputTable[[#This Row],[GroupByKey]]),(OutputTable[GroupByKey]=OutputTable[[#This Row],[GroupByKey]])*OutputTable[RecordedValue]))</f>
        <v>16</v>
      </c>
    </row>
    <row r="124" spans="1:16" x14ac:dyDescent="0.25">
      <c r="A124" t="s">
        <v>68</v>
      </c>
      <c r="B124" t="s">
        <v>70</v>
      </c>
      <c r="C124">
        <v>3</v>
      </c>
      <c r="D124" t="s">
        <v>119</v>
      </c>
      <c r="E124" t="s">
        <v>120</v>
      </c>
      <c r="F124" t="s">
        <v>73</v>
      </c>
      <c r="G124">
        <v>0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</v>
      </c>
      <c r="K124" s="5" cm="1">
        <f t="array" ref="K124">IFERROR(AVERAGE(IF((OutputTable[GroupByKey]=OutputTable[[#This Row],[GroupByKey]]),(OutputTable[GroupByKey]=OutputTable[[#This Row],[GroupByKey]])*OutputTable[RecordedValue])),0)</f>
        <v>0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" s="5" cm="1">
        <f t="array" ref="O124">MIN(IF((OutputTable[GroupByKey]=OutputTable[[#This Row],[GroupByKey]]),(OutputTable[GroupByKey]=OutputTable[[#This Row],[GroupByKey]])*OutputTable[RecordedValue]))</f>
        <v>0</v>
      </c>
      <c r="P124" s="5" cm="1">
        <f t="array" ref="P124">MAX(IF((OutputTable[GroupByKey]=OutputTable[[#This Row],[GroupByKey]]),(OutputTable[GroupByKey]=OutputTable[[#This Row],[GroupByKey]])*OutputTable[RecordedValue]))</f>
        <v>0</v>
      </c>
    </row>
    <row r="125" spans="1:16" x14ac:dyDescent="0.25">
      <c r="A125" t="s">
        <v>68</v>
      </c>
      <c r="B125" t="s">
        <v>70</v>
      </c>
      <c r="C125">
        <v>3</v>
      </c>
      <c r="D125" t="s">
        <v>121</v>
      </c>
      <c r="E125" t="s">
        <v>122</v>
      </c>
      <c r="F125" t="s">
        <v>73</v>
      </c>
      <c r="G125">
        <v>73.798651806292298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</v>
      </c>
      <c r="K125" s="5" cm="1">
        <f t="array" ref="K125">IFERROR(AVERAGE(IF((OutputTable[GroupByKey]=OutputTable[[#This Row],[GroupByKey]]),(OutputTable[GroupByKey]=OutputTable[[#This Row],[GroupByKey]])*OutputTable[RecordedValue])),0)</f>
        <v>88.003486580679507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10.627944107482914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125" s="5" cm="1">
        <f t="array" ref="O125">MIN(IF((OutputTable[GroupByKey]=OutputTable[[#This Row],[GroupByKey]]),(OutputTable[GroupByKey]=OutputTable[[#This Row],[GroupByKey]])*OutputTable[RecordedValue]))</f>
        <v>73.798651806292298</v>
      </c>
      <c r="P125" s="5" cm="1">
        <f t="array" ref="P125">MAX(IF((OutputTable[GroupByKey]=OutputTable[[#This Row],[GroupByKey]]),(OutputTable[GroupByKey]=OutputTable[[#This Row],[GroupByKey]])*OutputTable[RecordedValue]))</f>
        <v>98.950591933256206</v>
      </c>
    </row>
    <row r="126" spans="1:16" x14ac:dyDescent="0.25">
      <c r="A126" t="s">
        <v>68</v>
      </c>
      <c r="B126" t="s">
        <v>70</v>
      </c>
      <c r="C126">
        <v>3</v>
      </c>
      <c r="D126" t="s">
        <v>123</v>
      </c>
      <c r="E126" t="s">
        <v>85</v>
      </c>
      <c r="F126" t="s">
        <v>124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25">
      <c r="A127" t="s">
        <v>68</v>
      </c>
      <c r="B127" t="s">
        <v>70</v>
      </c>
      <c r="C127">
        <v>3</v>
      </c>
      <c r="D127" t="s">
        <v>125</v>
      </c>
      <c r="E127" t="s">
        <v>88</v>
      </c>
      <c r="F127" t="s">
        <v>124</v>
      </c>
      <c r="G127">
        <v>0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</v>
      </c>
      <c r="K127" s="5" cm="1">
        <f t="array" ref="K127">IFERROR(AVERAGE(IF((OutputTable[GroupByKey]=OutputTable[[#This Row],[GroupByKey]]),(OutputTable[GroupByKey]=OutputTable[[#This Row],[GroupByKey]])*OutputTable[RecordedValue])),0)</f>
        <v>0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s="5" cm="1">
        <f t="array" ref="O127">MIN(IF((OutputTable[GroupByKey]=OutputTable[[#This Row],[GroupByKey]]),(OutputTable[GroupByKey]=OutputTable[[#This Row],[GroupByKey]])*OutputTable[RecordedValue]))</f>
        <v>0</v>
      </c>
      <c r="P127" s="5" cm="1">
        <f t="array" ref="P127">MAX(IF((OutputTable[GroupByKey]=OutputTable[[#This Row],[GroupByKey]]),(OutputTable[GroupByKey]=OutputTable[[#This Row],[GroupByKey]])*OutputTable[RecordedValue]))</f>
        <v>0</v>
      </c>
    </row>
    <row r="128" spans="1:16" x14ac:dyDescent="0.25">
      <c r="A128" t="s">
        <v>68</v>
      </c>
      <c r="B128" t="s">
        <v>70</v>
      </c>
      <c r="C128">
        <v>3</v>
      </c>
      <c r="D128" t="s">
        <v>126</v>
      </c>
      <c r="E128" t="s">
        <v>90</v>
      </c>
      <c r="F128" t="s">
        <v>124</v>
      </c>
      <c r="G128">
        <v>215.56959882430399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</v>
      </c>
      <c r="K128" s="5" cm="1">
        <f t="array" ref="K128">IFERROR(AVERAGE(IF((OutputTable[GroupByKey]=OutputTable[[#This Row],[GroupByKey]]),(OutputTable[GroupByKey]=OutputTable[[#This Row],[GroupByKey]])*OutputTable[RecordedValue])),0)</f>
        <v>210.78541398558849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4.3015506850385421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28" s="5" cm="1">
        <f t="array" ref="O128">MIN(IF((OutputTable[GroupByKey]=OutputTable[[#This Row],[GroupByKey]]),(OutputTable[GroupByKey]=OutputTable[[#This Row],[GroupByKey]])*OutputTable[RecordedValue]))</f>
        <v>206.05792548363399</v>
      </c>
      <c r="P128" s="5" cm="1">
        <f t="array" ref="P128">MAX(IF((OutputTable[GroupByKey]=OutputTable[[#This Row],[GroupByKey]]),(OutputTable[GroupByKey]=OutputTable[[#This Row],[GroupByKey]])*OutputTable[RecordedValue]))</f>
        <v>215.56959882430399</v>
      </c>
    </row>
    <row r="129" spans="1:16" x14ac:dyDescent="0.25">
      <c r="A129" t="s">
        <v>68</v>
      </c>
      <c r="B129" t="s">
        <v>70</v>
      </c>
      <c r="C129">
        <v>3</v>
      </c>
      <c r="D129" t="s">
        <v>127</v>
      </c>
      <c r="E129" t="s">
        <v>128</v>
      </c>
      <c r="F129" t="s">
        <v>124</v>
      </c>
      <c r="G129">
        <v>0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</v>
      </c>
      <c r="K129" s="5" cm="1">
        <f t="array" ref="K129">IFERROR(AVERAGE(IF((OutputTable[GroupByKey]=OutputTable[[#This Row],[GroupByKey]]),(OutputTable[GroupByKey]=OutputTable[[#This Row],[GroupByKey]])*OutputTable[RecordedValue])),0)</f>
        <v>0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" s="5" cm="1">
        <f t="array" ref="O129">MIN(IF((OutputTable[GroupByKey]=OutputTable[[#This Row],[GroupByKey]]),(OutputTable[GroupByKey]=OutputTable[[#This Row],[GroupByKey]])*OutputTable[RecordedValue]))</f>
        <v>0</v>
      </c>
      <c r="P129" s="5" cm="1">
        <f t="array" ref="P129">MAX(IF((OutputTable[GroupByKey]=OutputTable[[#This Row],[GroupByKey]]),(OutputTable[GroupByKey]=OutputTable[[#This Row],[GroupByKey]])*OutputTable[RecordedValue]))</f>
        <v>0</v>
      </c>
    </row>
    <row r="130" spans="1:16" x14ac:dyDescent="0.25">
      <c r="A130" t="s">
        <v>68</v>
      </c>
      <c r="B130" t="s">
        <v>70</v>
      </c>
      <c r="C130">
        <v>3</v>
      </c>
      <c r="D130" t="s">
        <v>129</v>
      </c>
      <c r="E130" t="s">
        <v>94</v>
      </c>
      <c r="F130" t="s">
        <v>124</v>
      </c>
      <c r="G130">
        <v>215.56959882430399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</v>
      </c>
      <c r="K130" s="5" cm="1">
        <f t="array" ref="K130">IFERROR(AVERAGE(IF((OutputTable[GroupByKey]=OutputTable[[#This Row],[GroupByKey]]),(OutputTable[GroupByKey]=OutputTable[[#This Row],[GroupByKey]])*OutputTable[RecordedValue])),0)</f>
        <v>210.78541398558849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4.3015506850385421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30" s="5" cm="1">
        <f t="array" ref="O130">MIN(IF((OutputTable[GroupByKey]=OutputTable[[#This Row],[GroupByKey]]),(OutputTable[GroupByKey]=OutputTable[[#This Row],[GroupByKey]])*OutputTable[RecordedValue]))</f>
        <v>206.05792548363399</v>
      </c>
      <c r="P130" s="5" cm="1">
        <f t="array" ref="P130">MAX(IF((OutputTable[GroupByKey]=OutputTable[[#This Row],[GroupByKey]]),(OutputTable[GroupByKey]=OutputTable[[#This Row],[GroupByKey]])*OutputTable[RecordedValue]))</f>
        <v>215.56959882430399</v>
      </c>
    </row>
    <row r="131" spans="1:16" x14ac:dyDescent="0.25">
      <c r="A131" t="s">
        <v>68</v>
      </c>
      <c r="B131" t="s">
        <v>70</v>
      </c>
      <c r="C131">
        <v>3</v>
      </c>
      <c r="D131" t="s">
        <v>130</v>
      </c>
      <c r="E131" t="s">
        <v>96</v>
      </c>
      <c r="F131" t="s">
        <v>124</v>
      </c>
      <c r="G131">
        <v>0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</v>
      </c>
      <c r="K131" s="5" cm="1">
        <f t="array" ref="K131">IFERROR(AVERAGE(IF((OutputTable[GroupByKey]=OutputTable[[#This Row],[GroupByKey]]),(OutputTable[GroupByKey]=OutputTable[[#This Row],[GroupByKey]])*OutputTable[RecordedValue])),0)</f>
        <v>0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0</v>
      </c>
    </row>
    <row r="132" spans="1:16" x14ac:dyDescent="0.25">
      <c r="A132" t="s">
        <v>68</v>
      </c>
      <c r="B132" t="s">
        <v>70</v>
      </c>
      <c r="C132">
        <v>3</v>
      </c>
      <c r="D132" t="s">
        <v>131</v>
      </c>
      <c r="E132" t="s">
        <v>132</v>
      </c>
      <c r="F132" t="s">
        <v>124</v>
      </c>
      <c r="G132">
        <v>215.56959882430399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</v>
      </c>
      <c r="K132" s="5" cm="1">
        <f t="array" ref="K132">IFERROR(AVERAGE(IF((OutputTable[GroupByKey]=OutputTable[[#This Row],[GroupByKey]]),(OutputTable[GroupByKey]=OutputTable[[#This Row],[GroupByKey]])*OutputTable[RecordedValue])),0)</f>
        <v>210.78541398558849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4.3015506850385421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32" s="5" cm="1">
        <f t="array" ref="O132">MIN(IF((OutputTable[GroupByKey]=OutputTable[[#This Row],[GroupByKey]]),(OutputTable[GroupByKey]=OutputTable[[#This Row],[GroupByKey]])*OutputTable[RecordedValue]))</f>
        <v>206.05792548363399</v>
      </c>
      <c r="P132" s="5" cm="1">
        <f t="array" ref="P132">MAX(IF((OutputTable[GroupByKey]=OutputTable[[#This Row],[GroupByKey]]),(OutputTable[GroupByKey]=OutputTable[[#This Row],[GroupByKey]])*OutputTable[RecordedValue]))</f>
        <v>215.56959882430399</v>
      </c>
    </row>
    <row r="133" spans="1:16" x14ac:dyDescent="0.25">
      <c r="A133" t="s">
        <v>68</v>
      </c>
      <c r="B133" t="s">
        <v>70</v>
      </c>
      <c r="C133">
        <v>3</v>
      </c>
      <c r="D133" t="s">
        <v>133</v>
      </c>
      <c r="E133" t="s">
        <v>134</v>
      </c>
      <c r="F133" t="s">
        <v>124</v>
      </c>
      <c r="G133">
        <v>0.14858336255221799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</v>
      </c>
      <c r="K133" s="5" cm="1">
        <f t="array" ref="K133">IFERROR(AVERAGE(IF((OutputTable[GroupByKey]=OutputTable[[#This Row],[GroupByKey]]),(OutputTable[GroupByKey]=OutputTable[[#This Row],[GroupByKey]])*OutputTable[RecordedValue])),0)</f>
        <v>4.2300500576210318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4.2363178600656441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133" s="5" cm="1">
        <f t="array" ref="O133">MIN(IF((OutputTable[GroupByKey]=OutputTable[[#This Row],[GroupByKey]]),(OutputTable[GroupByKey]=OutputTable[[#This Row],[GroupByKey]])*OutputTable[RecordedValue]))</f>
        <v>0.14858336255221799</v>
      </c>
      <c r="P133" s="5" cm="1">
        <f t="array" ref="P133">MAX(IF((OutputTable[GroupByKey]=OutputTable[[#This Row],[GroupByKey]]),(OutputTable[GroupByKey]=OutputTable[[#This Row],[GroupByKey]])*OutputTable[RecordedValue]))</f>
        <v>9.34402440928719</v>
      </c>
    </row>
    <row r="134" spans="1:16" x14ac:dyDescent="0.25">
      <c r="A134" t="s">
        <v>68</v>
      </c>
      <c r="B134" t="s">
        <v>70</v>
      </c>
      <c r="C134">
        <v>3</v>
      </c>
      <c r="D134" t="s">
        <v>135</v>
      </c>
      <c r="E134" t="s">
        <v>90</v>
      </c>
      <c r="F134" t="s">
        <v>124</v>
      </c>
      <c r="G134">
        <v>215.71818218685601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</v>
      </c>
      <c r="K134" s="5" cm="1">
        <f t="array" ref="K134">IFERROR(AVERAGE(IF((OutputTable[GroupByKey]=OutputTable[[#This Row],[GroupByKey]]),(OutputTable[GroupByKey]=OutputTable[[#This Row],[GroupByKey]])*OutputTable[RecordedValue])),0)</f>
        <v>215.01546404320951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0.64228161231094227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134" s="5" cm="1">
        <f t="array" ref="O134">MIN(IF((OutputTable[GroupByKey]=OutputTable[[#This Row],[GroupByKey]]),(OutputTable[GroupByKey]=OutputTable[[#This Row],[GroupByKey]])*OutputTable[RecordedValue]))</f>
        <v>214.44626288468001</v>
      </c>
      <c r="P134" s="5" cm="1">
        <f t="array" ref="P134">MAX(IF((OutputTable[GroupByKey]=OutputTable[[#This Row],[GroupByKey]]),(OutputTable[GroupByKey]=OutputTable[[#This Row],[GroupByKey]])*OutputTable[RecordedValue]))</f>
        <v>215.71818218685601</v>
      </c>
    </row>
    <row r="135" spans="1:16" x14ac:dyDescent="0.25">
      <c r="A135" t="s">
        <v>68</v>
      </c>
      <c r="B135" t="s">
        <v>70</v>
      </c>
      <c r="C135">
        <v>3</v>
      </c>
      <c r="D135" t="s">
        <v>136</v>
      </c>
      <c r="E135" t="s">
        <v>137</v>
      </c>
      <c r="F135" t="s">
        <v>124</v>
      </c>
      <c r="G135">
        <v>0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</v>
      </c>
      <c r="K135" s="5" cm="1">
        <f t="array" ref="K135">IFERROR(AVERAGE(IF((OutputTable[GroupByKey]=OutputTable[[#This Row],[GroupByKey]]),(OutputTable[GroupByKey]=OutputTable[[#This Row],[GroupByKey]])*OutputTable[RecordedValue])),0)</f>
        <v>0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" s="5" cm="1">
        <f t="array" ref="O135">MIN(IF((OutputTable[GroupByKey]=OutputTable[[#This Row],[GroupByKey]]),(OutputTable[GroupByKey]=OutputTable[[#This Row],[GroupByKey]])*OutputTable[RecordedValue]))</f>
        <v>0</v>
      </c>
      <c r="P135" s="5" cm="1">
        <f t="array" ref="P135">MAX(IF((OutputTable[GroupByKey]=OutputTable[[#This Row],[GroupByKey]]),(OutputTable[GroupByKey]=OutputTable[[#This Row],[GroupByKey]])*OutputTable[RecordedValue]))</f>
        <v>0</v>
      </c>
    </row>
    <row r="136" spans="1:16" x14ac:dyDescent="0.25">
      <c r="A136" t="s">
        <v>68</v>
      </c>
      <c r="B136" t="s">
        <v>70</v>
      </c>
      <c r="C136">
        <v>3</v>
      </c>
      <c r="D136" t="s">
        <v>138</v>
      </c>
      <c r="E136" t="s">
        <v>112</v>
      </c>
      <c r="F136" t="s">
        <v>73</v>
      </c>
      <c r="G136">
        <v>72.601292971098701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</v>
      </c>
      <c r="K136" s="5" cm="1">
        <f t="array" ref="K136">IFERROR(AVERAGE(IF((OutputTable[GroupByKey]=OutputTable[[#This Row],[GroupByKey]]),(OutputTable[GroupByKey]=OutputTable[[#This Row],[GroupByKey]])*OutputTable[RecordedValue])),0)</f>
        <v>76.928765378073209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3.2874890290420833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136" s="5" cm="1">
        <f t="array" ref="O136">MIN(IF((OutputTable[GroupByKey]=OutputTable[[#This Row],[GroupByKey]]),(OutputTable[GroupByKey]=OutputTable[[#This Row],[GroupByKey]])*OutputTable[RecordedValue]))</f>
        <v>72.601292971098701</v>
      </c>
      <c r="P136" s="5" cm="1">
        <f t="array" ref="P136">MAX(IF((OutputTable[GroupByKey]=OutputTable[[#This Row],[GroupByKey]]),(OutputTable[GroupByKey]=OutputTable[[#This Row],[GroupByKey]])*OutputTable[RecordedValue]))</f>
        <v>79.660934424486001</v>
      </c>
    </row>
    <row r="137" spans="1:16" x14ac:dyDescent="0.25">
      <c r="A137" t="s">
        <v>68</v>
      </c>
      <c r="B137" t="s">
        <v>70</v>
      </c>
      <c r="C137">
        <v>3</v>
      </c>
      <c r="D137" t="s">
        <v>139</v>
      </c>
      <c r="E137" t="s">
        <v>114</v>
      </c>
      <c r="F137" t="s">
        <v>73</v>
      </c>
      <c r="G137">
        <v>363.00646485549402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</v>
      </c>
      <c r="K137" s="5" cm="1">
        <f t="array" ref="K137">IFERROR(AVERAGE(IF((OutputTable[GroupByKey]=OutputTable[[#This Row],[GroupByKey]]),(OutputTable[GroupByKey]=OutputTable[[#This Row],[GroupByKey]])*OutputTable[RecordedValue])),0)</f>
        <v>384.64382689036626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16.437445145210162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26.155643285338851</v>
      </c>
      <c r="O137" s="5" cm="1">
        <f t="array" ref="O137">MIN(IF((OutputTable[GroupByKey]=OutputTable[[#This Row],[GroupByKey]]),(OutputTable[GroupByKey]=OutputTable[[#This Row],[GroupByKey]])*OutputTable[RecordedValue]))</f>
        <v>363.00646485549402</v>
      </c>
      <c r="P137" s="5" cm="1">
        <f t="array" ref="P137">MAX(IF((OutputTable[GroupByKey]=OutputTable[[#This Row],[GroupByKey]]),(OutputTable[GroupByKey]=OutputTable[[#This Row],[GroupByKey]])*OutputTable[RecordedValue]))</f>
        <v>398.30467212243002</v>
      </c>
    </row>
    <row r="138" spans="1:16" x14ac:dyDescent="0.25">
      <c r="A138" t="s">
        <v>68</v>
      </c>
      <c r="B138" t="s">
        <v>70</v>
      </c>
      <c r="C138">
        <v>3</v>
      </c>
      <c r="D138" t="s">
        <v>140</v>
      </c>
      <c r="E138" t="s">
        <v>141</v>
      </c>
      <c r="F138" t="s">
        <v>73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70</v>
      </c>
      <c r="C139">
        <v>3</v>
      </c>
      <c r="D139" t="s">
        <v>142</v>
      </c>
      <c r="E139" t="s">
        <v>143</v>
      </c>
      <c r="F139" t="s">
        <v>73</v>
      </c>
      <c r="G139">
        <v>10542.4054832944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</v>
      </c>
      <c r="K139" s="5" cm="1">
        <f t="array" ref="K139">IFERROR(AVERAGE(IF((OutputTable[GroupByKey]=OutputTable[[#This Row],[GroupByKey]]),(OutputTable[GroupByKey]=OutputTable[[#This Row],[GroupByKey]])*OutputTable[RecordedValue])),0)</f>
        <v>12692.581721271574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2222.7996146344935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3536.9702104897965</v>
      </c>
      <c r="O139" s="5" cm="1">
        <f t="array" ref="O139">MIN(IF((OutputTable[GroupByKey]=OutputTable[[#This Row],[GroupByKey]]),(OutputTable[GroupByKey]=OutputTable[[#This Row],[GroupByKey]])*OutputTable[RecordedValue]))</f>
        <v>10542.4054832944</v>
      </c>
      <c r="P139" s="5" cm="1">
        <f t="array" ref="P139">MAX(IF((OutputTable[GroupByKey]=OutputTable[[#This Row],[GroupByKey]]),(OutputTable[GroupByKey]=OutputTable[[#This Row],[GroupByKey]])*OutputTable[RecordedValue]))</f>
        <v>14613.0717473656</v>
      </c>
    </row>
    <row r="140" spans="1:16" x14ac:dyDescent="0.25">
      <c r="A140" t="s">
        <v>68</v>
      </c>
      <c r="B140" t="s">
        <v>70</v>
      </c>
      <c r="C140">
        <v>3</v>
      </c>
      <c r="D140" t="s">
        <v>144</v>
      </c>
      <c r="E140" t="s">
        <v>116</v>
      </c>
      <c r="F140" t="s">
        <v>73</v>
      </c>
      <c r="G140">
        <v>276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</v>
      </c>
      <c r="K140" s="5" cm="1">
        <f t="array" ref="K140">IFERROR(AVERAGE(IF((OutputTable[GroupByKey]=OutputTable[[#This Row],[GroupByKey]]),(OutputTable[GroupByKey]=OutputTable[[#This Row],[GroupByKey]])*OutputTable[RecordedValue])),0)</f>
        <v>287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9.3452305125841235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140" s="5" cm="1">
        <f t="array" ref="O140">MIN(IF((OutputTable[GroupByKey]=OutputTable[[#This Row],[GroupByKey]]),(OutputTable[GroupByKey]=OutputTable[[#This Row],[GroupByKey]])*OutputTable[RecordedValue]))</f>
        <v>276</v>
      </c>
      <c r="P140" s="5" cm="1">
        <f t="array" ref="P140">MAX(IF((OutputTable[GroupByKey]=OutputTable[[#This Row],[GroupByKey]]),(OutputTable[GroupByKey]=OutputTable[[#This Row],[GroupByKey]])*OutputTable[RecordedValue]))</f>
        <v>297</v>
      </c>
    </row>
    <row r="141" spans="1:16" x14ac:dyDescent="0.25">
      <c r="A141" t="s">
        <v>68</v>
      </c>
      <c r="B141" t="s">
        <v>70</v>
      </c>
      <c r="C141">
        <v>3</v>
      </c>
      <c r="D141" t="s">
        <v>145</v>
      </c>
      <c r="E141" t="s">
        <v>118</v>
      </c>
      <c r="F141" t="s">
        <v>73</v>
      </c>
      <c r="G141">
        <v>214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</v>
      </c>
      <c r="K141" s="5" cm="1">
        <f t="array" ref="K141">IFERROR(AVERAGE(IF((OutputTable[GroupByKey]=OutputTable[[#This Row],[GroupByKey]]),(OutputTable[GroupByKey]=OutputTable[[#This Row],[GroupByKey]])*OutputTable[RecordedValue])),0)</f>
        <v>224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9.8994949366116654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15.752305542597284</v>
      </c>
      <c r="O141" s="5" cm="1">
        <f t="array" ref="O141">MIN(IF((OutputTable[GroupByKey]=OutputTable[[#This Row],[GroupByKey]]),(OutputTable[GroupByKey]=OutputTable[[#This Row],[GroupByKey]])*OutputTable[RecordedValue]))</f>
        <v>214</v>
      </c>
      <c r="P141" s="5" cm="1">
        <f t="array" ref="P141">MAX(IF((OutputTable[GroupByKey]=OutputTable[[#This Row],[GroupByKey]]),(OutputTable[GroupByKey]=OutputTable[[#This Row],[GroupByKey]])*OutputTable[RecordedValue]))</f>
        <v>233</v>
      </c>
    </row>
    <row r="142" spans="1:16" x14ac:dyDescent="0.25">
      <c r="A142" t="s">
        <v>68</v>
      </c>
      <c r="B142" t="s">
        <v>70</v>
      </c>
      <c r="C142">
        <v>3</v>
      </c>
      <c r="D142" t="s">
        <v>146</v>
      </c>
      <c r="E142" t="s">
        <v>120</v>
      </c>
      <c r="F142" t="s">
        <v>73</v>
      </c>
      <c r="G142">
        <v>72.601292971098701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</v>
      </c>
      <c r="K142" s="5" cm="1">
        <f t="array" ref="K142">IFERROR(AVERAGE(IF((OutputTable[GroupByKey]=OutputTable[[#This Row],[GroupByKey]]),(OutputTable[GroupByKey]=OutputTable[[#This Row],[GroupByKey]])*OutputTable[RecordedValue])),0)</f>
        <v>76.928765378073209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3.2874890290420833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142" s="5" cm="1">
        <f t="array" ref="O142">MIN(IF((OutputTable[GroupByKey]=OutputTable[[#This Row],[GroupByKey]]),(OutputTable[GroupByKey]=OutputTable[[#This Row],[GroupByKey]])*OutputTable[RecordedValue]))</f>
        <v>72.601292971098701</v>
      </c>
      <c r="P142" s="5" cm="1">
        <f t="array" ref="P142">MAX(IF((OutputTable[GroupByKey]=OutputTable[[#This Row],[GroupByKey]]),(OutputTable[GroupByKey]=OutputTable[[#This Row],[GroupByKey]])*OutputTable[RecordedValue]))</f>
        <v>79.660934424486001</v>
      </c>
    </row>
    <row r="143" spans="1:16" x14ac:dyDescent="0.25">
      <c r="A143" t="s">
        <v>68</v>
      </c>
      <c r="B143" t="s">
        <v>70</v>
      </c>
      <c r="C143">
        <v>3</v>
      </c>
      <c r="D143" t="s">
        <v>147</v>
      </c>
      <c r="E143" t="s">
        <v>122</v>
      </c>
      <c r="F143" t="s">
        <v>73</v>
      </c>
      <c r="G143">
        <v>10905.4119481499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</v>
      </c>
      <c r="K143" s="5" cm="1">
        <f t="array" ref="K143">IFERROR(AVERAGE(IF((OutputTable[GroupByKey]=OutputTable[[#This Row],[GroupByKey]]),(OutputTable[GroupByKey]=OutputTable[[#This Row],[GroupByKey]])*OutputTable[RecordedValue])),0)</f>
        <v>13077.22554816195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2228.6642699814252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3546.3021858600991</v>
      </c>
      <c r="O143" s="5" cm="1">
        <f t="array" ref="O143">MIN(IF((OutputTable[GroupByKey]=OutputTable[[#This Row],[GroupByKey]]),(OutputTable[GroupByKey]=OutputTable[[#This Row],[GroupByKey]])*OutputTable[RecordedValue]))</f>
        <v>10905.4119481499</v>
      </c>
      <c r="P143" s="5" cm="1">
        <f t="array" ref="P143">MAX(IF((OutputTable[GroupByKey]=OutputTable[[#This Row],[GroupByKey]]),(OutputTable[GroupByKey]=OutputTable[[#This Row],[GroupByKey]])*OutputTable[RecordedValue]))</f>
        <v>15004.5680408265</v>
      </c>
    </row>
    <row r="144" spans="1:16" x14ac:dyDescent="0.25">
      <c r="A144" t="s">
        <v>68</v>
      </c>
      <c r="B144" t="s">
        <v>70</v>
      </c>
      <c r="C144">
        <v>3</v>
      </c>
      <c r="D144" t="s">
        <v>148</v>
      </c>
      <c r="E144" t="s">
        <v>116</v>
      </c>
      <c r="F144" t="s">
        <v>86</v>
      </c>
      <c r="G144">
        <v>276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</v>
      </c>
      <c r="K144" s="5" cm="1">
        <f t="array" ref="K144">IFERROR(AVERAGE(IF((OutputTable[GroupByKey]=OutputTable[[#This Row],[GroupByKey]]),(OutputTable[GroupByKey]=OutputTable[[#This Row],[GroupByKey]])*OutputTable[RecordedValue])),0)</f>
        <v>287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9.3452305125841235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144" s="5" cm="1">
        <f t="array" ref="O144">MIN(IF((OutputTable[GroupByKey]=OutputTable[[#This Row],[GroupByKey]]),(OutputTable[GroupByKey]=OutputTable[[#This Row],[GroupByKey]])*OutputTable[RecordedValue]))</f>
        <v>276</v>
      </c>
      <c r="P144" s="5" cm="1">
        <f t="array" ref="P144">MAX(IF((OutputTable[GroupByKey]=OutputTable[[#This Row],[GroupByKey]]),(OutputTable[GroupByKey]=OutputTable[[#This Row],[GroupByKey]])*OutputTable[RecordedValue]))</f>
        <v>297</v>
      </c>
    </row>
    <row r="145" spans="1:16" x14ac:dyDescent="0.25">
      <c r="A145" t="s">
        <v>68</v>
      </c>
      <c r="B145" t="s">
        <v>70</v>
      </c>
      <c r="C145">
        <v>3</v>
      </c>
      <c r="D145" t="s">
        <v>149</v>
      </c>
      <c r="E145" t="s">
        <v>118</v>
      </c>
      <c r="F145" t="s">
        <v>86</v>
      </c>
      <c r="G145">
        <v>185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</v>
      </c>
      <c r="K145" s="5" cm="1">
        <f t="array" ref="K145">IFERROR(AVERAGE(IF((OutputTable[GroupByKey]=OutputTable[[#This Row],[GroupByKey]]),(OutputTable[GroupByKey]=OutputTable[[#This Row],[GroupByKey]])*OutputTable[RecordedValue])),0)</f>
        <v>179.25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5.315072906367325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145" s="5" cm="1">
        <f t="array" ref="O145">MIN(IF((OutputTable[GroupByKey]=OutputTable[[#This Row],[GroupByKey]]),(OutputTable[GroupByKey]=OutputTable[[#This Row],[GroupByKey]])*OutputTable[RecordedValue]))</f>
        <v>173</v>
      </c>
      <c r="P145" s="5" cm="1">
        <f t="array" ref="P145">MAX(IF((OutputTable[GroupByKey]=OutputTable[[#This Row],[GroupByKey]]),(OutputTable[GroupByKey]=OutputTable[[#This Row],[GroupByKey]])*OutputTable[RecordedValue]))</f>
        <v>185</v>
      </c>
    </row>
    <row r="146" spans="1:16" x14ac:dyDescent="0.25">
      <c r="A146" t="s">
        <v>68</v>
      </c>
      <c r="B146" t="s">
        <v>70</v>
      </c>
      <c r="C146">
        <v>3</v>
      </c>
      <c r="D146" t="s">
        <v>150</v>
      </c>
      <c r="E146" t="s">
        <v>112</v>
      </c>
      <c r="F146" t="s">
        <v>73</v>
      </c>
      <c r="G146">
        <v>11.390004494043801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AnalysisExtra Bag Check Accum VA CostAccum VA CostProcess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</v>
      </c>
      <c r="K146" s="5" cm="1">
        <f t="array" ref="K146">IFERROR(AVERAGE(IF((OutputTable[GroupByKey]=OutputTable[[#This Row],[GroupByKey]]),(OutputTable[GroupByKey]=OutputTable[[#This Row],[GroupByKey]])*OutputTable[RecordedValue])),0)</f>
        <v>6.6317073247458076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3.4431401159439399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146" s="5" cm="1">
        <f t="array" ref="O146">MIN(IF((OutputTable[GroupByKey]=OutputTable[[#This Row],[GroupByKey]]),(OutputTable[GroupByKey]=OutputTable[[#This Row],[GroupByKey]])*OutputTable[RecordedValue]))</f>
        <v>3.8705214634162899</v>
      </c>
      <c r="P146" s="5" cm="1">
        <f t="array" ref="P146">MAX(IF((OutputTable[GroupByKey]=OutputTable[[#This Row],[GroupByKey]]),(OutputTable[GroupByKey]=OutputTable[[#This Row],[GroupByKey]])*OutputTable[RecordedValue]))</f>
        <v>11.390004494043801</v>
      </c>
    </row>
    <row r="147" spans="1:16" x14ac:dyDescent="0.25">
      <c r="A147" t="s">
        <v>68</v>
      </c>
      <c r="B147" t="s">
        <v>70</v>
      </c>
      <c r="C147">
        <v>3</v>
      </c>
      <c r="D147" t="s">
        <v>151</v>
      </c>
      <c r="E147" t="s">
        <v>114</v>
      </c>
      <c r="F147" t="s">
        <v>73</v>
      </c>
      <c r="G147">
        <v>56.950022470218798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AnalysisExtra Bag Check Accum VA TimeAccum VA TimeProcess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</v>
      </c>
      <c r="K147" s="5" cm="1">
        <f t="array" ref="K147">IFERROR(AVERAGE(IF((OutputTable[GroupByKey]=OutputTable[[#This Row],[GroupByKey]]),(OutputTable[GroupByKey]=OutputTable[[#This Row],[GroupByKey]])*OutputTable[RecordedValue])),0)</f>
        <v>33.158536623728978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17.21570057971962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27.394021351399644</v>
      </c>
      <c r="O147" s="5" cm="1">
        <f t="array" ref="O147">MIN(IF((OutputTable[GroupByKey]=OutputTable[[#This Row],[GroupByKey]]),(OutputTable[GroupByKey]=OutputTable[[#This Row],[GroupByKey]])*OutputTable[RecordedValue]))</f>
        <v>19.3526073170814</v>
      </c>
      <c r="P147" s="5" cm="1">
        <f t="array" ref="P147">MAX(IF((OutputTable[GroupByKey]=OutputTable[[#This Row],[GroupByKey]]),(OutputTable[GroupByKey]=OutputTable[[#This Row],[GroupByKey]])*OutputTable[RecordedValue]))</f>
        <v>56.950022470218798</v>
      </c>
    </row>
    <row r="148" spans="1:16" x14ac:dyDescent="0.25">
      <c r="A148" t="s">
        <v>68</v>
      </c>
      <c r="B148" t="s">
        <v>70</v>
      </c>
      <c r="C148">
        <v>3</v>
      </c>
      <c r="D148" t="s">
        <v>152</v>
      </c>
      <c r="E148" t="s">
        <v>141</v>
      </c>
      <c r="F148" t="s">
        <v>73</v>
      </c>
      <c r="G148">
        <v>0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AnalysisExtra Bag Check Accum Wait CostAccum Wait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</v>
      </c>
      <c r="K148" s="5" cm="1">
        <f t="array" ref="K148">IFERROR(AVERAGE(IF((OutputTable[GroupByKey]=OutputTable[[#This Row],[GroupByKey]]),(OutputTable[GroupByKey]=OutputTable[[#This Row],[GroupByKey]])*OutputTable[RecordedValue])),0)</f>
        <v>0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" s="5" cm="1">
        <f t="array" ref="O148">MIN(IF((OutputTable[GroupByKey]=OutputTable[[#This Row],[GroupByKey]]),(OutputTable[GroupByKey]=OutputTable[[#This Row],[GroupByKey]])*OutputTable[RecordedValue]))</f>
        <v>0</v>
      </c>
      <c r="P148" s="5" cm="1">
        <f t="array" ref="P148">MAX(IF((OutputTable[GroupByKey]=OutputTable[[#This Row],[GroupByKey]]),(OutputTable[GroupByKey]=OutputTable[[#This Row],[GroupByKey]])*OutputTable[RecordedValue]))</f>
        <v>0</v>
      </c>
    </row>
    <row r="149" spans="1:16" x14ac:dyDescent="0.25">
      <c r="A149" t="s">
        <v>68</v>
      </c>
      <c r="B149" t="s">
        <v>70</v>
      </c>
      <c r="C149">
        <v>3</v>
      </c>
      <c r="D149" t="s">
        <v>153</v>
      </c>
      <c r="E149" t="s">
        <v>143</v>
      </c>
      <c r="F149" t="s">
        <v>73</v>
      </c>
      <c r="G149">
        <v>123.246876914268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AnalysisExtra Bag Check Accum Wait TimeAccum Wait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</v>
      </c>
      <c r="K149" s="5" cm="1">
        <f t="array" ref="K149">IFERROR(AVERAGE(IF((OutputTable[GroupByKey]=OutputTable[[#This Row],[GroupByKey]]),(OutputTable[GroupByKey]=OutputTable[[#This Row],[GroupByKey]])*OutputTable[RecordedValue])),0)</f>
        <v>176.41164102787997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81.720013644737534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130.03477774571456</v>
      </c>
      <c r="O149" s="5" cm="1">
        <f t="array" ref="O149">MIN(IF((OutputTable[GroupByKey]=OutputTable[[#This Row],[GroupByKey]]),(OutputTable[GroupByKey]=OutputTable[[#This Row],[GroupByKey]])*OutputTable[RecordedValue]))</f>
        <v>96.9944662297289</v>
      </c>
      <c r="P149" s="5" cm="1">
        <f t="array" ref="P149">MAX(IF((OutputTable[GroupByKey]=OutputTable[[#This Row],[GroupByKey]]),(OutputTable[GroupByKey]=OutputTable[[#This Row],[GroupByKey]])*OutputTable[RecordedValue]))</f>
        <v>275.19812426113498</v>
      </c>
    </row>
    <row r="150" spans="1:16" x14ac:dyDescent="0.25">
      <c r="A150" t="s">
        <v>68</v>
      </c>
      <c r="B150" t="s">
        <v>70</v>
      </c>
      <c r="C150">
        <v>3</v>
      </c>
      <c r="D150" t="s">
        <v>154</v>
      </c>
      <c r="E150" t="s">
        <v>116</v>
      </c>
      <c r="F150" t="s">
        <v>73</v>
      </c>
      <c r="G150">
        <v>4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AnalysisExtra Bag Check Number InNumber InProcess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</v>
      </c>
      <c r="K150" s="5" cm="1">
        <f t="array" ref="K150">IFERROR(AVERAGE(IF((OutputTable[GroupByKey]=OutputTable[[#This Row],[GroupByKey]]),(OutputTable[GroupByKey]=OutputTable[[#This Row],[GroupByKey]])*OutputTable[RecordedValue])),0)</f>
        <v>3.75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1.2583057392117916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2.0022452253359253</v>
      </c>
      <c r="O150" s="5" cm="1">
        <f t="array" ref="O150">MIN(IF((OutputTable[GroupByKey]=OutputTable[[#This Row],[GroupByKey]]),(OutputTable[GroupByKey]=OutputTable[[#This Row],[GroupByKey]])*OutputTable[RecordedValue]))</f>
        <v>2</v>
      </c>
      <c r="P150" s="5" cm="1">
        <f t="array" ref="P150">MAX(IF((OutputTable[GroupByKey]=OutputTable[[#This Row],[GroupByKey]]),(OutputTable[GroupByKey]=OutputTable[[#This Row],[GroupByKey]])*OutputTable[RecordedValue]))</f>
        <v>5</v>
      </c>
    </row>
    <row r="151" spans="1:16" x14ac:dyDescent="0.25">
      <c r="A151" t="s">
        <v>68</v>
      </c>
      <c r="B151" t="s">
        <v>70</v>
      </c>
      <c r="C151">
        <v>3</v>
      </c>
      <c r="D151" t="s">
        <v>155</v>
      </c>
      <c r="E151" t="s">
        <v>118</v>
      </c>
      <c r="F151" t="s">
        <v>73</v>
      </c>
      <c r="G151">
        <v>3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AnalysisExtra Bag Check Number OutNumber OutProcess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</v>
      </c>
      <c r="K151" s="5" cm="1">
        <f t="array" ref="K151">IFERROR(AVERAGE(IF((OutputTable[GroupByKey]=OutputTable[[#This Row],[GroupByKey]]),(OutputTable[GroupByKey]=OutputTable[[#This Row],[GroupByKey]])*OutputTable[RecordedValue])),0)</f>
        <v>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0.81649658092772603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151" s="5" cm="1">
        <f t="array" ref="O151">MIN(IF((OutputTable[GroupByKey]=OutputTable[[#This Row],[GroupByKey]]),(OutputTable[GroupByKey]=OutputTable[[#This Row],[GroupByKey]])*OutputTable[RecordedValue]))</f>
        <v>2</v>
      </c>
      <c r="P151" s="5" cm="1">
        <f t="array" ref="P151">MAX(IF((OutputTable[GroupByKey]=OutputTable[[#This Row],[GroupByKey]]),(OutputTable[GroupByKey]=OutputTable[[#This Row],[GroupByKey]])*OutputTable[RecordedValue]))</f>
        <v>4</v>
      </c>
    </row>
    <row r="152" spans="1:16" x14ac:dyDescent="0.25">
      <c r="A152" t="s">
        <v>68</v>
      </c>
      <c r="B152" t="s">
        <v>70</v>
      </c>
      <c r="C152">
        <v>3</v>
      </c>
      <c r="D152" t="s">
        <v>156</v>
      </c>
      <c r="E152" t="s">
        <v>120</v>
      </c>
      <c r="F152" t="s">
        <v>73</v>
      </c>
      <c r="G152">
        <v>11.390004494043801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AnalysisExtra Bag Check Total Accum CostTotal Accum CostProcess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</v>
      </c>
      <c r="K152" s="5" cm="1">
        <f t="array" ref="K152">IFERROR(AVERAGE(IF((OutputTable[GroupByKey]=OutputTable[[#This Row],[GroupByKey]]),(OutputTable[GroupByKey]=OutputTable[[#This Row],[GroupByKey]])*OutputTable[RecordedValue])),0)</f>
        <v>6.6317073247458076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3.4431401159439399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152" s="5" cm="1">
        <f t="array" ref="O152">MIN(IF((OutputTable[GroupByKey]=OutputTable[[#This Row],[GroupByKey]]),(OutputTable[GroupByKey]=OutputTable[[#This Row],[GroupByKey]])*OutputTable[RecordedValue]))</f>
        <v>3.8705214634162899</v>
      </c>
      <c r="P152" s="5" cm="1">
        <f t="array" ref="P152">MAX(IF((OutputTable[GroupByKey]=OutputTable[[#This Row],[GroupByKey]]),(OutputTable[GroupByKey]=OutputTable[[#This Row],[GroupByKey]])*OutputTable[RecordedValue]))</f>
        <v>11.390004494043801</v>
      </c>
    </row>
    <row r="153" spans="1:16" x14ac:dyDescent="0.25">
      <c r="A153" t="s">
        <v>68</v>
      </c>
      <c r="B153" t="s">
        <v>70</v>
      </c>
      <c r="C153">
        <v>3</v>
      </c>
      <c r="D153" t="s">
        <v>157</v>
      </c>
      <c r="E153" t="s">
        <v>122</v>
      </c>
      <c r="F153" t="s">
        <v>73</v>
      </c>
      <c r="G153">
        <v>180.19689938448701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AnalysisExtra Bag Check Total Accum TimeTotal Accum TimeProcess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</v>
      </c>
      <c r="K153" s="5" cm="1">
        <f t="array" ref="K153">IFERROR(AVERAGE(IF((OutputTable[GroupByKey]=OutputTable[[#This Row],[GroupByKey]]),(OutputTable[GroupByKey]=OutputTable[[#This Row],[GroupByKey]])*OutputTable[RecordedValue])),0)</f>
        <v>209.57017765160899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81.85027903248286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130.24205904668281</v>
      </c>
      <c r="O153" s="5" cm="1">
        <f t="array" ref="O153">MIN(IF((OutputTable[GroupByKey]=OutputTable[[#This Row],[GroupByKey]]),(OutputTable[GroupByKey]=OutputTable[[#This Row],[GroupByKey]])*OutputTable[RecordedValue]))</f>
        <v>116.34707354680999</v>
      </c>
      <c r="P153" s="5" cm="1">
        <f t="array" ref="P153">MAX(IF((OutputTable[GroupByKey]=OutputTable[[#This Row],[GroupByKey]]),(OutputTable[GroupByKey]=OutputTable[[#This Row],[GroupByKey]])*OutputTable[RecordedValue]))</f>
        <v>309.79221392417901</v>
      </c>
    </row>
    <row r="154" spans="1:16" x14ac:dyDescent="0.25">
      <c r="A154" t="s">
        <v>68</v>
      </c>
      <c r="B154" t="s">
        <v>70</v>
      </c>
      <c r="C154">
        <v>3</v>
      </c>
      <c r="D154" t="s">
        <v>158</v>
      </c>
      <c r="E154" t="s">
        <v>132</v>
      </c>
      <c r="F154" t="s">
        <v>106</v>
      </c>
      <c r="G154">
        <v>0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</v>
      </c>
      <c r="K154" s="5" cm="1">
        <f t="array" ref="K154">IFERROR(AVERAGE(IF((OutputTable[GroupByKey]=OutputTable[[#This Row],[GroupByKey]]),(OutputTable[GroupByKey]=OutputTable[[#This Row],[GroupByKey]])*OutputTable[RecordedValue])),0)</f>
        <v>0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" s="5" cm="1">
        <f t="array" ref="O154">MIN(IF((OutputTable[GroupByKey]=OutputTable[[#This Row],[GroupByKey]]),(OutputTable[GroupByKey]=OutputTable[[#This Row],[GroupByKey]])*OutputTable[RecordedValue]))</f>
        <v>0</v>
      </c>
      <c r="P154" s="5" cm="1">
        <f t="array" ref="P154">MAX(IF((OutputTable[GroupByKey]=OutputTable[[#This Row],[GroupByKey]]),(OutputTable[GroupByKey]=OutputTable[[#This Row],[GroupByKey]])*OutputTable[RecordedValue]))</f>
        <v>0</v>
      </c>
    </row>
    <row r="155" spans="1:16" x14ac:dyDescent="0.25">
      <c r="A155" t="s">
        <v>68</v>
      </c>
      <c r="B155" t="s">
        <v>70</v>
      </c>
      <c r="C155">
        <v>3</v>
      </c>
      <c r="D155" t="s">
        <v>159</v>
      </c>
      <c r="E155" t="s">
        <v>134</v>
      </c>
      <c r="F155" t="s">
        <v>106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</v>
      </c>
      <c r="K155" s="5" cm="1">
        <f t="array" ref="K155">IFERROR(AVERAGE(IF((OutputTable[GroupByKey]=OutputTable[[#This Row],[GroupByKey]]),(OutputTable[GroupByKey]=OutputTable[[#This Row],[GroupByKey]])*OutputTable[RecordedValue])),0)</f>
        <v>0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" s="5" cm="1">
        <f t="array" ref="O155">MIN(IF((OutputTable[GroupByKey]=OutputTable[[#This Row],[GroupByKey]]),(OutputTable[GroupByKey]=OutputTable[[#This Row],[GroupByKey]])*OutputTable[RecordedValue]))</f>
        <v>0</v>
      </c>
      <c r="P155" s="5" cm="1">
        <f t="array" ref="P155">MAX(IF((OutputTable[GroupByKey]=OutputTable[[#This Row],[GroupByKey]]),(OutputTable[GroupByKey]=OutputTable[[#This Row],[GroupByKey]])*OutputTable[RecordedValue]))</f>
        <v>0</v>
      </c>
    </row>
    <row r="156" spans="1:16" x14ac:dyDescent="0.25">
      <c r="A156" t="s">
        <v>68</v>
      </c>
      <c r="B156" t="s">
        <v>70</v>
      </c>
      <c r="C156">
        <v>3</v>
      </c>
      <c r="D156" t="s">
        <v>160</v>
      </c>
      <c r="E156" t="s">
        <v>161</v>
      </c>
      <c r="F156" t="s">
        <v>106</v>
      </c>
      <c r="G156">
        <v>3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</v>
      </c>
      <c r="K156" s="5" cm="1">
        <f t="array" ref="K156">IFERROR(AVERAGE(IF((OutputTable[GroupByKey]=OutputTable[[#This Row],[GroupByKey]]),(OutputTable[GroupByKey]=OutputTable[[#This Row],[GroupByKey]])*OutputTable[RecordedValue])),0)</f>
        <v>3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0.81649658092772603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156" s="5" cm="1">
        <f t="array" ref="O156">MIN(IF((OutputTable[GroupByKey]=OutputTable[[#This Row],[GroupByKey]]),(OutputTable[GroupByKey]=OutputTable[[#This Row],[GroupByKey]])*OutputTable[RecordedValue]))</f>
        <v>2</v>
      </c>
      <c r="P156" s="5" cm="1">
        <f t="array" ref="P156">MAX(IF((OutputTable[GroupByKey]=OutputTable[[#This Row],[GroupByKey]]),(OutputTable[GroupByKey]=OutputTable[[#This Row],[GroupByKey]])*OutputTable[RecordedValue]))</f>
        <v>4</v>
      </c>
    </row>
    <row r="157" spans="1:16" x14ac:dyDescent="0.25">
      <c r="A157" t="s">
        <v>68</v>
      </c>
      <c r="B157" t="s">
        <v>70</v>
      </c>
      <c r="C157">
        <v>3</v>
      </c>
      <c r="D157" t="s">
        <v>162</v>
      </c>
      <c r="E157" t="s">
        <v>163</v>
      </c>
      <c r="F157" t="s">
        <v>106</v>
      </c>
      <c r="G157">
        <v>0.10546300457447901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</v>
      </c>
      <c r="K157" s="5" cm="1">
        <f t="array" ref="K157">IFERROR(AVERAGE(IF((OutputTable[GroupByKey]=OutputTable[[#This Row],[GroupByKey]]),(OutputTable[GroupByKey]=OutputTable[[#This Row],[GroupByKey]])*OutputTable[RecordedValue])),0)</f>
        <v>6.1404697451349924E-2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3.1880926999480634E-2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5.0729669169258376E-2</v>
      </c>
      <c r="O157" s="5" cm="1">
        <f t="array" ref="O157">MIN(IF((OutputTable[GroupByKey]=OutputTable[[#This Row],[GroupByKey]]),(OutputTable[GroupByKey]=OutputTable[[#This Row],[GroupByKey]])*OutputTable[RecordedValue]))</f>
        <v>3.5838161698299002E-2</v>
      </c>
      <c r="P157" s="5" cm="1">
        <f t="array" ref="P157">MAX(IF((OutputTable[GroupByKey]=OutputTable[[#This Row],[GroupByKey]]),(OutputTable[GroupByKey]=OutputTable[[#This Row],[GroupByKey]])*OutputTable[RecordedValue]))</f>
        <v>0.10546300457447901</v>
      </c>
    </row>
    <row r="158" spans="1:16" x14ac:dyDescent="0.25">
      <c r="A158" t="s">
        <v>68</v>
      </c>
      <c r="B158" t="s">
        <v>70</v>
      </c>
      <c r="C158">
        <v>3</v>
      </c>
      <c r="D158" t="s">
        <v>164</v>
      </c>
      <c r="E158" t="s">
        <v>137</v>
      </c>
      <c r="F158" t="s">
        <v>106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</v>
      </c>
      <c r="K158" s="5" cm="1">
        <f t="array" ref="K158">IFERROR(AVERAGE(IF((OutputTable[GroupByKey]=OutputTable[[#This Row],[GroupByKey]]),(OutputTable[GroupByKey]=OutputTable[[#This Row],[GroupByKey]])*OutputTable[RecordedValue])),0)</f>
        <v>0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" s="5" cm="1">
        <f t="array" ref="O158">MIN(IF((OutputTable[GroupByKey]=OutputTable[[#This Row],[GroupByKey]]),(OutputTable[GroupByKey]=OutputTable[[#This Row],[GroupByKey]])*OutputTable[RecordedValue]))</f>
        <v>0</v>
      </c>
      <c r="P158" s="5" cm="1">
        <f t="array" ref="P158">MAX(IF((OutputTable[GroupByKey]=OutputTable[[#This Row],[GroupByKey]]),(OutputTable[GroupByKey]=OutputTable[[#This Row],[GroupByKey]])*OutputTable[RecordedValue]))</f>
        <v>0</v>
      </c>
    </row>
    <row r="159" spans="1:16" x14ac:dyDescent="0.25">
      <c r="A159" t="s">
        <v>68</v>
      </c>
      <c r="B159" t="s">
        <v>70</v>
      </c>
      <c r="C159">
        <v>3</v>
      </c>
      <c r="D159" t="s">
        <v>165</v>
      </c>
      <c r="E159" t="s">
        <v>118</v>
      </c>
      <c r="F159" t="s">
        <v>124</v>
      </c>
      <c r="G159">
        <v>185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</v>
      </c>
      <c r="K159" s="5" cm="1">
        <f t="array" ref="K159">IFERROR(AVERAGE(IF((OutputTable[GroupByKey]=OutputTable[[#This Row],[GroupByKey]]),(OutputTable[GroupByKey]=OutputTable[[#This Row],[GroupByKey]])*OutputTable[RecordedValue])),0)</f>
        <v>179.25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5.315072906367325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159" s="5" cm="1">
        <f t="array" ref="O159">MIN(IF((OutputTable[GroupByKey]=OutputTable[[#This Row],[GroupByKey]]),(OutputTable[GroupByKey]=OutputTable[[#This Row],[GroupByKey]])*OutputTable[RecordedValue]))</f>
        <v>173</v>
      </c>
      <c r="P159" s="5" cm="1">
        <f t="array" ref="P159">MAX(IF((OutputTable[GroupByKey]=OutputTable[[#This Row],[GroupByKey]]),(OutputTable[GroupByKey]=OutputTable[[#This Row],[GroupByKey]])*OutputTable[RecordedValue]))</f>
        <v>185</v>
      </c>
    </row>
    <row r="160" spans="1:16" x14ac:dyDescent="0.25">
      <c r="A160" t="s">
        <v>68</v>
      </c>
      <c r="B160" t="s">
        <v>70</v>
      </c>
      <c r="C160">
        <v>3</v>
      </c>
      <c r="D160" t="s">
        <v>166</v>
      </c>
      <c r="E160" t="s">
        <v>90</v>
      </c>
      <c r="F160" t="s">
        <v>124</v>
      </c>
      <c r="G160">
        <v>215.71818218685601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</v>
      </c>
      <c r="K160" s="5" cm="1">
        <f t="array" ref="K160">IFERROR(AVERAGE(IF((OutputTable[GroupByKey]=OutputTable[[#This Row],[GroupByKey]]),(OutputTable[GroupByKey]=OutputTable[[#This Row],[GroupByKey]])*OutputTable[RecordedValue])),0)</f>
        <v>215.01546404320951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0.64228161231094227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160" s="5" cm="1">
        <f t="array" ref="O160">MIN(IF((OutputTable[GroupByKey]=OutputTable[[#This Row],[GroupByKey]]),(OutputTable[GroupByKey]=OutputTable[[#This Row],[GroupByKey]])*OutputTable[RecordedValue]))</f>
        <v>214.44626288468001</v>
      </c>
      <c r="P160" s="5" cm="1">
        <f t="array" ref="P160">MAX(IF((OutputTable[GroupByKey]=OutputTable[[#This Row],[GroupByKey]]),(OutputTable[GroupByKey]=OutputTable[[#This Row],[GroupByKey]])*OutputTable[RecordedValue]))</f>
        <v>215.71818218685601</v>
      </c>
    </row>
    <row r="161" spans="1:16" x14ac:dyDescent="0.25">
      <c r="A161" t="s">
        <v>68</v>
      </c>
      <c r="B161" t="s">
        <v>70</v>
      </c>
      <c r="C161">
        <v>3</v>
      </c>
      <c r="D161" t="s">
        <v>167</v>
      </c>
      <c r="E161" t="s">
        <v>132</v>
      </c>
      <c r="F161" t="s">
        <v>106</v>
      </c>
      <c r="G161">
        <v>215.56959882430399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</v>
      </c>
      <c r="K161" s="5" cm="1">
        <f t="array" ref="K161">IFERROR(AVERAGE(IF((OutputTable[GroupByKey]=OutputTable[[#This Row],[GroupByKey]]),(OutputTable[GroupByKey]=OutputTable[[#This Row],[GroupByKey]])*OutputTable[RecordedValue])),0)</f>
        <v>210.78541398558849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4.3015506850385421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61" s="5" cm="1">
        <f t="array" ref="O161">MIN(IF((OutputTable[GroupByKey]=OutputTable[[#This Row],[GroupByKey]]),(OutputTable[GroupByKey]=OutputTable[[#This Row],[GroupByKey]])*OutputTable[RecordedValue]))</f>
        <v>206.05792548363399</v>
      </c>
      <c r="P161" s="5" cm="1">
        <f t="array" ref="P161">MAX(IF((OutputTable[GroupByKey]=OutputTable[[#This Row],[GroupByKey]]),(OutputTable[GroupByKey]=OutputTable[[#This Row],[GroupByKey]])*OutputTable[RecordedValue]))</f>
        <v>215.56959882430399</v>
      </c>
    </row>
    <row r="162" spans="1:16" x14ac:dyDescent="0.25">
      <c r="A162" t="s">
        <v>68</v>
      </c>
      <c r="B162" t="s">
        <v>70</v>
      </c>
      <c r="C162">
        <v>3</v>
      </c>
      <c r="D162" t="s">
        <v>168</v>
      </c>
      <c r="E162" t="s">
        <v>134</v>
      </c>
      <c r="F162" t="s">
        <v>106</v>
      </c>
      <c r="G162">
        <v>0.14858336255221799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</v>
      </c>
      <c r="K162" s="5" cm="1">
        <f t="array" ref="K162">IFERROR(AVERAGE(IF((OutputTable[GroupByKey]=OutputTable[[#This Row],[GroupByKey]]),(OutputTable[GroupByKey]=OutputTable[[#This Row],[GroupByKey]])*OutputTable[RecordedValue])),0)</f>
        <v>4.2300500576210318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4.2363178600656441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162" s="5" cm="1">
        <f t="array" ref="O162">MIN(IF((OutputTable[GroupByKey]=OutputTable[[#This Row],[GroupByKey]]),(OutputTable[GroupByKey]=OutputTable[[#This Row],[GroupByKey]])*OutputTable[RecordedValue]))</f>
        <v>0.14858336255221799</v>
      </c>
      <c r="P162" s="5" cm="1">
        <f t="array" ref="P162">MAX(IF((OutputTable[GroupByKey]=OutputTable[[#This Row],[GroupByKey]]),(OutputTable[GroupByKey]=OutputTable[[#This Row],[GroupByKey]])*OutputTable[RecordedValue]))</f>
        <v>9.34402440928719</v>
      </c>
    </row>
    <row r="163" spans="1:16" x14ac:dyDescent="0.25">
      <c r="A163" t="s">
        <v>68</v>
      </c>
      <c r="B163" t="s">
        <v>70</v>
      </c>
      <c r="C163">
        <v>3</v>
      </c>
      <c r="D163" t="s">
        <v>169</v>
      </c>
      <c r="E163" t="s">
        <v>161</v>
      </c>
      <c r="F163" t="s">
        <v>106</v>
      </c>
      <c r="G163">
        <v>398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</v>
      </c>
      <c r="K163" s="5" cm="1">
        <f t="array" ref="K163">IFERROR(AVERAGE(IF((OutputTable[GroupByKey]=OutputTable[[#This Row],[GroupByKey]]),(OutputTable[GroupByKey]=OutputTable[[#This Row],[GroupByKey]])*OutputTable[RecordedValue])),0)</f>
        <v>401.75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2.9860788111948193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4.7515177399864594</v>
      </c>
      <c r="O163" s="5" cm="1">
        <f t="array" ref="O163">MIN(IF((OutputTable[GroupByKey]=OutputTable[[#This Row],[GroupByKey]]),(OutputTable[GroupByKey]=OutputTable[[#This Row],[GroupByKey]])*OutputTable[RecordedValue]))</f>
        <v>398</v>
      </c>
      <c r="P163" s="5" cm="1">
        <f t="array" ref="P163">MAX(IF((OutputTable[GroupByKey]=OutputTable[[#This Row],[GroupByKey]]),(OutputTable[GroupByKey]=OutputTable[[#This Row],[GroupByKey]])*OutputTable[RecordedValue]))</f>
        <v>405</v>
      </c>
    </row>
    <row r="164" spans="1:16" x14ac:dyDescent="0.25">
      <c r="A164" t="s">
        <v>68</v>
      </c>
      <c r="B164" t="s">
        <v>70</v>
      </c>
      <c r="C164">
        <v>3</v>
      </c>
      <c r="D164" t="s">
        <v>170</v>
      </c>
      <c r="E164" t="s">
        <v>163</v>
      </c>
      <c r="F164" t="s">
        <v>106</v>
      </c>
      <c r="G164">
        <v>0.99931211406225795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</v>
      </c>
      <c r="K164" s="5" cm="1">
        <f t="array" ref="K164">IFERROR(AVERAGE(IF((OutputTable[GroupByKey]=OutputTable[[#This Row],[GroupByKey]]),(OutputTable[GroupByKey]=OutputTable[[#This Row],[GroupByKey]])*OutputTable[RecordedValue])),0)</f>
        <v>0.98041643491842145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1.9612582685488503E-2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3.1207995652252053E-2</v>
      </c>
      <c r="O164" s="5" cm="1">
        <f t="array" ref="O164">MIN(IF((OutputTable[GroupByKey]=OutputTable[[#This Row],[GroupByKey]]),(OutputTable[GroupByKey]=OutputTable[[#This Row],[GroupByKey]])*OutputTable[RecordedValue]))</f>
        <v>0.95674062773478297</v>
      </c>
      <c r="P164" s="5" cm="1">
        <f t="array" ref="P164">MAX(IF((OutputTable[GroupByKey]=OutputTable[[#This Row],[GroupByKey]]),(OutputTable[GroupByKey]=OutputTable[[#This Row],[GroupByKey]])*OutputTable[RecordedValue]))</f>
        <v>0.99931211406225795</v>
      </c>
    </row>
    <row r="165" spans="1:16" x14ac:dyDescent="0.25">
      <c r="A165" t="s">
        <v>68</v>
      </c>
      <c r="B165" t="s">
        <v>70</v>
      </c>
      <c r="C165">
        <v>3</v>
      </c>
      <c r="D165" t="s">
        <v>171</v>
      </c>
      <c r="E165" t="s">
        <v>137</v>
      </c>
      <c r="F165" t="s">
        <v>106</v>
      </c>
      <c r="G165">
        <v>0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</v>
      </c>
      <c r="K165" s="5" cm="1">
        <f t="array" ref="K165">IFERROR(AVERAGE(IF((OutputTable[GroupByKey]=OutputTable[[#This Row],[GroupByKey]]),(OutputTable[GroupByKey]=OutputTable[[#This Row],[GroupByKey]])*OutputTable[RecordedValue])),0)</f>
        <v>0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" s="5" cm="1">
        <f t="array" ref="O165">MIN(IF((OutputTable[GroupByKey]=OutputTable[[#This Row],[GroupByKey]]),(OutputTable[GroupByKey]=OutputTable[[#This Row],[GroupByKey]])*OutputTable[RecordedValue]))</f>
        <v>0</v>
      </c>
      <c r="P165" s="5" cm="1">
        <f t="array" ref="P165">MAX(IF((OutputTable[GroupByKey]=OutputTable[[#This Row],[GroupByKey]]),(OutputTable[GroupByKey]=OutputTable[[#This Row],[GroupByKey]])*OutputTable[RecordedValue]))</f>
        <v>0</v>
      </c>
    </row>
    <row r="166" spans="1:16" x14ac:dyDescent="0.25">
      <c r="A166" t="s">
        <v>68</v>
      </c>
      <c r="B166" t="s">
        <v>70</v>
      </c>
      <c r="C166">
        <v>3</v>
      </c>
      <c r="D166" t="s">
        <v>172</v>
      </c>
      <c r="E166" t="s">
        <v>112</v>
      </c>
      <c r="F166" t="s">
        <v>73</v>
      </c>
      <c r="G166">
        <v>131.578301359161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</v>
      </c>
      <c r="K166" s="5" cm="1">
        <f t="array" ref="K166">IFERROR(AVERAGE(IF((OutputTable[GroupByKey]=OutputTable[[#This Row],[GroupByKey]]),(OutputTable[GroupByKey]=OutputTable[[#This Row],[GroupByKey]])*OutputTable[RecordedValue])),0)</f>
        <v>127.224941282769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4.2482705353357675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166" s="5" cm="1">
        <f t="array" ref="O166">MIN(IF((OutputTable[GroupByKey]=OutputTable[[#This Row],[GroupByKey]]),(OutputTable[GroupByKey]=OutputTable[[#This Row],[GroupByKey]])*OutputTable[RecordedValue]))</f>
        <v>122.526469595731</v>
      </c>
      <c r="P166" s="5" cm="1">
        <f t="array" ref="P166">MAX(IF((OutputTable[GroupByKey]=OutputTable[[#This Row],[GroupByKey]]),(OutputTable[GroupByKey]=OutputTable[[#This Row],[GroupByKey]])*OutputTable[RecordedValue]))</f>
        <v>131.578301359161</v>
      </c>
    </row>
    <row r="167" spans="1:16" x14ac:dyDescent="0.25">
      <c r="A167" t="s">
        <v>68</v>
      </c>
      <c r="B167" t="s">
        <v>70</v>
      </c>
      <c r="C167">
        <v>3</v>
      </c>
      <c r="D167" t="s">
        <v>173</v>
      </c>
      <c r="E167" t="s">
        <v>114</v>
      </c>
      <c r="F167" t="s">
        <v>73</v>
      </c>
      <c r="G167">
        <v>657.89150679580598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</v>
      </c>
      <c r="K167" s="5" cm="1">
        <f t="array" ref="K167">IFERROR(AVERAGE(IF((OutputTable[GroupByKey]=OutputTable[[#This Row],[GroupByKey]]),(OutputTable[GroupByKey]=OutputTable[[#This Row],[GroupByKey]])*OutputTable[RecordedValue])),0)</f>
        <v>636.1247064138455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21.241352676679028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33.799732172562685</v>
      </c>
      <c r="O167" s="5" cm="1">
        <f t="array" ref="O167">MIN(IF((OutputTable[GroupByKey]=OutputTable[[#This Row],[GroupByKey]]),(OutputTable[GroupByKey]=OutputTable[[#This Row],[GroupByKey]])*OutputTable[RecordedValue]))</f>
        <v>612.63234797865698</v>
      </c>
      <c r="P167" s="5" cm="1">
        <f t="array" ref="P167">MAX(IF((OutputTable[GroupByKey]=OutputTable[[#This Row],[GroupByKey]]),(OutputTable[GroupByKey]=OutputTable[[#This Row],[GroupByKey]])*OutputTable[RecordedValue]))</f>
        <v>657.89150679580598</v>
      </c>
    </row>
    <row r="168" spans="1:16" x14ac:dyDescent="0.25">
      <c r="A168" t="s">
        <v>68</v>
      </c>
      <c r="B168" t="s">
        <v>70</v>
      </c>
      <c r="C168">
        <v>3</v>
      </c>
      <c r="D168" t="s">
        <v>174</v>
      </c>
      <c r="E168" t="s">
        <v>141</v>
      </c>
      <c r="F168" t="s">
        <v>73</v>
      </c>
      <c r="G168">
        <v>0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</v>
      </c>
      <c r="K168" s="5" cm="1">
        <f t="array" ref="K168">IFERROR(AVERAGE(IF((OutputTable[GroupByKey]=OutputTable[[#This Row],[GroupByKey]]),(OutputTable[GroupByKey]=OutputTable[[#This Row],[GroupByKey]])*OutputTable[RecordedValue])),0)</f>
        <v>0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" s="5" cm="1">
        <f t="array" ref="O168">MIN(IF((OutputTable[GroupByKey]=OutputTable[[#This Row],[GroupByKey]]),(OutputTable[GroupByKey]=OutputTable[[#This Row],[GroupByKey]])*OutputTable[RecordedValue]))</f>
        <v>0</v>
      </c>
      <c r="P168" s="5" cm="1">
        <f t="array" ref="P168">MAX(IF((OutputTable[GroupByKey]=OutputTable[[#This Row],[GroupByKey]]),(OutputTable[GroupByKey]=OutputTable[[#This Row],[GroupByKey]])*OutputTable[RecordedValue]))</f>
        <v>0</v>
      </c>
    </row>
    <row r="169" spans="1:16" x14ac:dyDescent="0.25">
      <c r="A169" t="s">
        <v>68</v>
      </c>
      <c r="B169" t="s">
        <v>70</v>
      </c>
      <c r="C169">
        <v>3</v>
      </c>
      <c r="D169" t="s">
        <v>175</v>
      </c>
      <c r="E169" t="s">
        <v>143</v>
      </c>
      <c r="F169" t="s">
        <v>73</v>
      </c>
      <c r="G169">
        <v>9349.4160403197693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</v>
      </c>
      <c r="K169" s="5" cm="1">
        <f t="array" ref="K169">IFERROR(AVERAGE(IF((OutputTable[GroupByKey]=OutputTable[[#This Row],[GroupByKey]]),(OutputTable[GroupByKey]=OutputTable[[#This Row],[GroupByKey]])*OutputTable[RecordedValue])),0)</f>
        <v>10257.343173692567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2550.6385043783166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4058.6350421865682</v>
      </c>
      <c r="O169" s="5" cm="1">
        <f t="array" ref="O169">MIN(IF((OutputTable[GroupByKey]=OutputTable[[#This Row],[GroupByKey]]),(OutputTable[GroupByKey]=OutputTable[[#This Row],[GroupByKey]])*OutputTable[RecordedValue]))</f>
        <v>7661.1563493536996</v>
      </c>
      <c r="P169" s="5" cm="1">
        <f t="array" ref="P169">MAX(IF((OutputTable[GroupByKey]=OutputTable[[#This Row],[GroupByKey]]),(OutputTable[GroupByKey]=OutputTable[[#This Row],[GroupByKey]])*OutputTable[RecordedValue]))</f>
        <v>13714.2968238091</v>
      </c>
    </row>
    <row r="170" spans="1:16" x14ac:dyDescent="0.25">
      <c r="A170" t="s">
        <v>68</v>
      </c>
      <c r="B170" t="s">
        <v>70</v>
      </c>
      <c r="C170">
        <v>3</v>
      </c>
      <c r="D170" t="s">
        <v>176</v>
      </c>
      <c r="E170" t="s">
        <v>116</v>
      </c>
      <c r="F170" t="s">
        <v>73</v>
      </c>
      <c r="G170">
        <v>206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</v>
      </c>
      <c r="K170" s="5" cm="1">
        <f t="array" ref="K170">IFERROR(AVERAGE(IF((OutputTable[GroupByKey]=OutputTable[[#This Row],[GroupByKey]]),(OutputTable[GroupByKey]=OutputTable[[#This Row],[GroupByKey]])*OutputTable[RecordedValue])),0)</f>
        <v>216.25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9.1787798753429097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14.605487050648748</v>
      </c>
      <c r="O170" s="5" cm="1">
        <f t="array" ref="O170">MIN(IF((OutputTable[GroupByKey]=OutputTable[[#This Row],[GroupByKey]]),(OutputTable[GroupByKey]=OutputTable[[#This Row],[GroupByKey]])*OutputTable[RecordedValue]))</f>
        <v>206</v>
      </c>
      <c r="P170" s="5" cm="1">
        <f t="array" ref="P170">MAX(IF((OutputTable[GroupByKey]=OutputTable[[#This Row],[GroupByKey]]),(OutputTable[GroupByKey]=OutputTable[[#This Row],[GroupByKey]])*OutputTable[RecordedValue]))</f>
        <v>224</v>
      </c>
    </row>
    <row r="171" spans="1:16" x14ac:dyDescent="0.25">
      <c r="A171" t="s">
        <v>68</v>
      </c>
      <c r="B171" t="s">
        <v>70</v>
      </c>
      <c r="C171">
        <v>3</v>
      </c>
      <c r="D171" t="s">
        <v>177</v>
      </c>
      <c r="E171" t="s">
        <v>118</v>
      </c>
      <c r="F171" t="s">
        <v>73</v>
      </c>
      <c r="G171">
        <v>179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</v>
      </c>
      <c r="K171" s="5" cm="1">
        <f t="array" ref="K171">IFERROR(AVERAGE(IF((OutputTable[GroupByKey]=OutputTable[[#This Row],[GroupByKey]]),(OutputTable[GroupByKey]=OutputTable[[#This Row],[GroupByKey]])*OutputTable[RecordedValue])),0)</f>
        <v>172.75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6.7019897542943667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10.664361265801686</v>
      </c>
      <c r="O171" s="5" cm="1">
        <f t="array" ref="O171">MIN(IF((OutputTable[GroupByKey]=OutputTable[[#This Row],[GroupByKey]]),(OutputTable[GroupByKey]=OutputTable[[#This Row],[GroupByKey]])*OutputTable[RecordedValue]))</f>
        <v>166</v>
      </c>
      <c r="P171" s="5" cm="1">
        <f t="array" ref="P171">MAX(IF((OutputTable[GroupByKey]=OutputTable[[#This Row],[GroupByKey]]),(OutputTable[GroupByKey]=OutputTable[[#This Row],[GroupByKey]])*OutputTable[RecordedValue]))</f>
        <v>179</v>
      </c>
    </row>
    <row r="172" spans="1:16" x14ac:dyDescent="0.25">
      <c r="A172" t="s">
        <v>68</v>
      </c>
      <c r="B172" t="s">
        <v>70</v>
      </c>
      <c r="C172">
        <v>3</v>
      </c>
      <c r="D172" t="s">
        <v>178</v>
      </c>
      <c r="E172" t="s">
        <v>120</v>
      </c>
      <c r="F172" t="s">
        <v>73</v>
      </c>
      <c r="G172">
        <v>131.578301359161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</v>
      </c>
      <c r="K172" s="5" cm="1">
        <f t="array" ref="K172">IFERROR(AVERAGE(IF((OutputTable[GroupByKey]=OutputTable[[#This Row],[GroupByKey]]),(OutputTable[GroupByKey]=OutputTable[[#This Row],[GroupByKey]])*OutputTable[RecordedValue])),0)</f>
        <v>127.224941282769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4.2482705353357675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172" s="5" cm="1">
        <f t="array" ref="O172">MIN(IF((OutputTable[GroupByKey]=OutputTable[[#This Row],[GroupByKey]]),(OutputTable[GroupByKey]=OutputTable[[#This Row],[GroupByKey]])*OutputTable[RecordedValue]))</f>
        <v>122.526469595731</v>
      </c>
      <c r="P172" s="5" cm="1">
        <f t="array" ref="P172">MAX(IF((OutputTable[GroupByKey]=OutputTable[[#This Row],[GroupByKey]]),(OutputTable[GroupByKey]=OutputTable[[#This Row],[GroupByKey]])*OutputTable[RecordedValue]))</f>
        <v>131.578301359161</v>
      </c>
    </row>
    <row r="173" spans="1:16" x14ac:dyDescent="0.25">
      <c r="A173" t="s">
        <v>68</v>
      </c>
      <c r="B173" t="s">
        <v>70</v>
      </c>
      <c r="C173">
        <v>3</v>
      </c>
      <c r="D173" t="s">
        <v>179</v>
      </c>
      <c r="E173" t="s">
        <v>122</v>
      </c>
      <c r="F173" t="s">
        <v>73</v>
      </c>
      <c r="G173">
        <v>10007.307547115601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</v>
      </c>
      <c r="K173" s="5" cm="1">
        <f t="array" ref="K173">IFERROR(AVERAGE(IF((OutputTable[GroupByKey]=OutputTable[[#This Row],[GroupByKey]]),(OutputTable[GroupByKey]=OutputTable[[#This Row],[GroupByKey]])*OutputTable[RecordedValue])),0)</f>
        <v>10893.46788010644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2562.1766713466454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4076.9948406056201</v>
      </c>
      <c r="O173" s="5" cm="1">
        <f t="array" ref="O173">MIN(IF((OutputTable[GroupByKey]=OutputTable[[#This Row],[GroupByKey]]),(OutputTable[GroupByKey]=OutputTable[[#This Row],[GroupByKey]])*OutputTable[RecordedValue]))</f>
        <v>8273.7886973323602</v>
      </c>
      <c r="P173" s="5" cm="1">
        <f t="array" ref="P173">MAX(IF((OutputTable[GroupByKey]=OutputTable[[#This Row],[GroupByKey]]),(OutputTable[GroupByKey]=OutputTable[[#This Row],[GroupByKey]])*OutputTable[RecordedValue]))</f>
        <v>14364.0595178896</v>
      </c>
    </row>
    <row r="174" spans="1:16" x14ac:dyDescent="0.25">
      <c r="A174" t="s">
        <v>68</v>
      </c>
      <c r="B174" t="s">
        <v>70</v>
      </c>
      <c r="C174">
        <v>3</v>
      </c>
      <c r="D174" t="s">
        <v>180</v>
      </c>
      <c r="E174" t="s">
        <v>132</v>
      </c>
      <c r="F174" t="s">
        <v>106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70</v>
      </c>
      <c r="C175">
        <v>3</v>
      </c>
      <c r="D175" t="s">
        <v>181</v>
      </c>
      <c r="E175" t="s">
        <v>134</v>
      </c>
      <c r="F175" t="s">
        <v>106</v>
      </c>
      <c r="G175">
        <v>0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</v>
      </c>
      <c r="K175" s="5" cm="1">
        <f t="array" ref="K175">IFERROR(AVERAGE(IF((OutputTable[GroupByKey]=OutputTable[[#This Row],[GroupByKey]]),(OutputTable[GroupByKey]=OutputTable[[#This Row],[GroupByKey]])*OutputTable[RecordedValue])),0)</f>
        <v>0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" s="5" cm="1">
        <f t="array" ref="O175">MIN(IF((OutputTable[GroupByKey]=OutputTable[[#This Row],[GroupByKey]]),(OutputTable[GroupByKey]=OutputTable[[#This Row],[GroupByKey]])*OutputTable[RecordedValue]))</f>
        <v>0</v>
      </c>
      <c r="P175" s="5" cm="1">
        <f t="array" ref="P175">MAX(IF((OutputTable[GroupByKey]=OutputTable[[#This Row],[GroupByKey]]),(OutputTable[GroupByKey]=OutputTable[[#This Row],[GroupByKey]])*OutputTable[RecordedValue]))</f>
        <v>0</v>
      </c>
    </row>
    <row r="176" spans="1:16" x14ac:dyDescent="0.25">
      <c r="A176" t="s">
        <v>68</v>
      </c>
      <c r="B176" t="s">
        <v>70</v>
      </c>
      <c r="C176">
        <v>3</v>
      </c>
      <c r="D176" t="s">
        <v>182</v>
      </c>
      <c r="E176" t="s">
        <v>161</v>
      </c>
      <c r="F176" t="s">
        <v>106</v>
      </c>
      <c r="G176">
        <v>179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</v>
      </c>
      <c r="K176" s="5" cm="1">
        <f t="array" ref="K176">IFERROR(AVERAGE(IF((OutputTable[GroupByKey]=OutputTable[[#This Row],[GroupByKey]]),(OutputTable[GroupByKey]=OutputTable[[#This Row],[GroupByKey]])*OutputTable[RecordedValue])),0)</f>
        <v>173.75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6.6520673478250352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10.584923576792088</v>
      </c>
      <c r="O176" s="5" cm="1">
        <f t="array" ref="O176">MIN(IF((OutputTable[GroupByKey]=OutputTable[[#This Row],[GroupByKey]]),(OutputTable[GroupByKey]=OutputTable[[#This Row],[GroupByKey]])*OutputTable[RecordedValue]))</f>
        <v>168</v>
      </c>
      <c r="P176" s="5" cm="1">
        <f t="array" ref="P176">MAX(IF((OutputTable[GroupByKey]=OutputTable[[#This Row],[GroupByKey]]),(OutputTable[GroupByKey]=OutputTable[[#This Row],[GroupByKey]])*OutputTable[RecordedValue]))</f>
        <v>180</v>
      </c>
    </row>
    <row r="177" spans="1:16" x14ac:dyDescent="0.25">
      <c r="A177" t="s">
        <v>68</v>
      </c>
      <c r="B177" t="s">
        <v>70</v>
      </c>
      <c r="C177">
        <v>3</v>
      </c>
      <c r="D177" t="s">
        <v>183</v>
      </c>
      <c r="E177" t="s">
        <v>163</v>
      </c>
      <c r="F177" t="s">
        <v>106</v>
      </c>
      <c r="G177">
        <v>0.60915880258870903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</v>
      </c>
      <c r="K177" s="5" cm="1">
        <f t="array" ref="K177">IFERROR(AVERAGE(IF((OutputTable[GroupByKey]=OutputTable[[#This Row],[GroupByKey]]),(OutputTable[GroupByKey]=OutputTable[[#This Row],[GroupByKey]])*OutputTable[RecordedValue])),0)</f>
        <v>0.59254402897918601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2.0319404327018134E-2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3.2332706613042321E-2</v>
      </c>
      <c r="O177" s="5" cm="1">
        <f t="array" ref="O177">MIN(IF((OutputTable[GroupByKey]=OutputTable[[#This Row],[GroupByKey]]),(OutputTable[GroupByKey]=OutputTable[[#This Row],[GroupByKey]])*OutputTable[RecordedValue]))</f>
        <v>0.56725217405431305</v>
      </c>
      <c r="P177" s="5" cm="1">
        <f t="array" ref="P177">MAX(IF((OutputTable[GroupByKey]=OutputTable[[#This Row],[GroupByKey]]),(OutputTable[GroupByKey]=OutputTable[[#This Row],[GroupByKey]])*OutputTable[RecordedValue]))</f>
        <v>0.60915880258870903</v>
      </c>
    </row>
    <row r="178" spans="1:16" x14ac:dyDescent="0.25">
      <c r="A178" t="s">
        <v>68</v>
      </c>
      <c r="B178" t="s">
        <v>70</v>
      </c>
      <c r="C178">
        <v>3</v>
      </c>
      <c r="D178" t="s">
        <v>184</v>
      </c>
      <c r="E178" t="s">
        <v>137</v>
      </c>
      <c r="F178" t="s">
        <v>106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70</v>
      </c>
      <c r="C179">
        <v>4</v>
      </c>
      <c r="D179" t="s">
        <v>111</v>
      </c>
      <c r="E179" t="s">
        <v>112</v>
      </c>
      <c r="F179" t="s">
        <v>73</v>
      </c>
      <c r="G179">
        <v>0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</v>
      </c>
      <c r="K179" s="5" cm="1">
        <f t="array" ref="K179">IFERROR(AVERAGE(IF((OutputTable[GroupByKey]=OutputTable[[#This Row],[GroupByKey]]),(OutputTable[GroupByKey]=OutputTable[[#This Row],[GroupByKey]])*OutputTable[RecordedValue])),0)</f>
        <v>0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" s="5" cm="1">
        <f t="array" ref="O179">MIN(IF((OutputTable[GroupByKey]=OutputTable[[#This Row],[GroupByKey]]),(OutputTable[GroupByKey]=OutputTable[[#This Row],[GroupByKey]])*OutputTable[RecordedValue]))</f>
        <v>0</v>
      </c>
      <c r="P179" s="5" cm="1">
        <f t="array" ref="P179">MAX(IF((OutputTable[GroupByKey]=OutputTable[[#This Row],[GroupByKey]]),(OutputTable[GroupByKey]=OutputTable[[#This Row],[GroupByKey]])*OutputTable[RecordedValue]))</f>
        <v>0</v>
      </c>
    </row>
    <row r="180" spans="1:16" x14ac:dyDescent="0.25">
      <c r="A180" t="s">
        <v>68</v>
      </c>
      <c r="B180" t="s">
        <v>70</v>
      </c>
      <c r="C180">
        <v>4</v>
      </c>
      <c r="D180" t="s">
        <v>113</v>
      </c>
      <c r="E180" t="s">
        <v>114</v>
      </c>
      <c r="F180" t="s">
        <v>73</v>
      </c>
      <c r="G180">
        <v>98.950591933256206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</v>
      </c>
      <c r="K180" s="5" cm="1">
        <f t="array" ref="K180">IFERROR(AVERAGE(IF((OutputTable[GroupByKey]=OutputTable[[#This Row],[GroupByKey]]),(OutputTable[GroupByKey]=OutputTable[[#This Row],[GroupByKey]])*OutputTable[RecordedValue])),0)</f>
        <v>88.003486580679507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10.627944107482914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180" s="5" cm="1">
        <f t="array" ref="O180">MIN(IF((OutputTable[GroupByKey]=OutputTable[[#This Row],[GroupByKey]]),(OutputTable[GroupByKey]=OutputTable[[#This Row],[GroupByKey]])*OutputTable[RecordedValue]))</f>
        <v>73.798651806292298</v>
      </c>
      <c r="P180" s="5" cm="1">
        <f t="array" ref="P180">MAX(IF((OutputTable[GroupByKey]=OutputTable[[#This Row],[GroupByKey]]),(OutputTable[GroupByKey]=OutputTable[[#This Row],[GroupByKey]])*OutputTable[RecordedValue]))</f>
        <v>98.950591933256206</v>
      </c>
    </row>
    <row r="181" spans="1:16" x14ac:dyDescent="0.25">
      <c r="A181" t="s">
        <v>68</v>
      </c>
      <c r="B181" t="s">
        <v>70</v>
      </c>
      <c r="C181">
        <v>4</v>
      </c>
      <c r="D181" t="s">
        <v>115</v>
      </c>
      <c r="E181" t="s">
        <v>116</v>
      </c>
      <c r="F181" t="s">
        <v>73</v>
      </c>
      <c r="G181">
        <v>16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</v>
      </c>
      <c r="K181" s="5" cm="1">
        <f t="array" ref="K181">IFERROR(AVERAGE(IF((OutputTable[GroupByKey]=OutputTable[[#This Row],[GroupByKey]]),(OutputTable[GroupByKey]=OutputTable[[#This Row],[GroupByKey]])*OutputTable[RecordedValue])),0)</f>
        <v>15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1.8257418583505538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2.905162715754765</v>
      </c>
      <c r="O181" s="5" cm="1">
        <f t="array" ref="O181">MIN(IF((OutputTable[GroupByKey]=OutputTable[[#This Row],[GroupByKey]]),(OutputTable[GroupByKey]=OutputTable[[#This Row],[GroupByKey]])*OutputTable[RecordedValue]))</f>
        <v>13</v>
      </c>
      <c r="P181" s="5" cm="1">
        <f t="array" ref="P181">MAX(IF((OutputTable[GroupByKey]=OutputTable[[#This Row],[GroupByKey]]),(OutputTable[GroupByKey]=OutputTable[[#This Row],[GroupByKey]])*OutputTable[RecordedValue]))</f>
        <v>17</v>
      </c>
    </row>
    <row r="182" spans="1:16" x14ac:dyDescent="0.25">
      <c r="A182" t="s">
        <v>68</v>
      </c>
      <c r="B182" t="s">
        <v>70</v>
      </c>
      <c r="C182">
        <v>4</v>
      </c>
      <c r="D182" t="s">
        <v>117</v>
      </c>
      <c r="E182" t="s">
        <v>118</v>
      </c>
      <c r="F182" t="s">
        <v>73</v>
      </c>
      <c r="G182">
        <v>16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</v>
      </c>
      <c r="K182" s="5" cm="1">
        <f t="array" ref="K182">IFERROR(AVERAGE(IF((OutputTable[GroupByKey]=OutputTable[[#This Row],[GroupByKey]]),(OutputTable[GroupByKey]=OutputTable[[#This Row],[GroupByKey]])*OutputTable[RecordedValue])),0)</f>
        <v>14.5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1.9148542155126762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3.0469603616576246</v>
      </c>
      <c r="O182" s="5" cm="1">
        <f t="array" ref="O182">MIN(IF((OutputTable[GroupByKey]=OutputTable[[#This Row],[GroupByKey]]),(OutputTable[GroupByKey]=OutputTable[[#This Row],[GroupByKey]])*OutputTable[RecordedValue]))</f>
        <v>12</v>
      </c>
      <c r="P182" s="5" cm="1">
        <f t="array" ref="P182">MAX(IF((OutputTable[GroupByKey]=OutputTable[[#This Row],[GroupByKey]]),(OutputTable[GroupByKey]=OutputTable[[#This Row],[GroupByKey]])*OutputTable[RecordedValue]))</f>
        <v>16</v>
      </c>
    </row>
    <row r="183" spans="1:16" x14ac:dyDescent="0.25">
      <c r="A183" t="s">
        <v>68</v>
      </c>
      <c r="B183" t="s">
        <v>70</v>
      </c>
      <c r="C183">
        <v>4</v>
      </c>
      <c r="D183" t="s">
        <v>119</v>
      </c>
      <c r="E183" t="s">
        <v>120</v>
      </c>
      <c r="F183" t="s">
        <v>73</v>
      </c>
      <c r="G183">
        <v>0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</v>
      </c>
      <c r="K183" s="5" cm="1">
        <f t="array" ref="K183">IFERROR(AVERAGE(IF((OutputTable[GroupByKey]=OutputTable[[#This Row],[GroupByKey]]),(OutputTable[GroupByKey]=OutputTable[[#This Row],[GroupByKey]])*OutputTable[RecordedValue])),0)</f>
        <v>0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0</v>
      </c>
      <c r="P183" s="5" cm="1">
        <f t="array" ref="P183">MAX(IF((OutputTable[GroupByKey]=OutputTable[[#This Row],[GroupByKey]]),(OutputTable[GroupByKey]=OutputTable[[#This Row],[GroupByKey]])*OutputTable[RecordedValue]))</f>
        <v>0</v>
      </c>
    </row>
    <row r="184" spans="1:16" x14ac:dyDescent="0.25">
      <c r="A184" t="s">
        <v>68</v>
      </c>
      <c r="B184" t="s">
        <v>70</v>
      </c>
      <c r="C184">
        <v>4</v>
      </c>
      <c r="D184" t="s">
        <v>121</v>
      </c>
      <c r="E184" t="s">
        <v>122</v>
      </c>
      <c r="F184" t="s">
        <v>73</v>
      </c>
      <c r="G184">
        <v>98.950591933256206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</v>
      </c>
      <c r="K184" s="5" cm="1">
        <f t="array" ref="K184">IFERROR(AVERAGE(IF((OutputTable[GroupByKey]=OutputTable[[#This Row],[GroupByKey]]),(OutputTable[GroupByKey]=OutputTable[[#This Row],[GroupByKey]])*OutputTable[RecordedValue])),0)</f>
        <v>88.003486580679507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10.627944107482914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16.911430728810377</v>
      </c>
      <c r="O184" s="5" cm="1">
        <f t="array" ref="O184">MIN(IF((OutputTable[GroupByKey]=OutputTable[[#This Row],[GroupByKey]]),(OutputTable[GroupByKey]=OutputTable[[#This Row],[GroupByKey]])*OutputTable[RecordedValue]))</f>
        <v>73.798651806292298</v>
      </c>
      <c r="P184" s="5" cm="1">
        <f t="array" ref="P184">MAX(IF((OutputTable[GroupByKey]=OutputTable[[#This Row],[GroupByKey]]),(OutputTable[GroupByKey]=OutputTable[[#This Row],[GroupByKey]])*OutputTable[RecordedValue]))</f>
        <v>98.950591933256206</v>
      </c>
    </row>
    <row r="185" spans="1:16" x14ac:dyDescent="0.25">
      <c r="A185" t="s">
        <v>68</v>
      </c>
      <c r="B185" t="s">
        <v>70</v>
      </c>
      <c r="C185">
        <v>4</v>
      </c>
      <c r="D185" t="s">
        <v>123</v>
      </c>
      <c r="E185" t="s">
        <v>85</v>
      </c>
      <c r="F185" t="s">
        <v>124</v>
      </c>
      <c r="G185">
        <v>0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</v>
      </c>
      <c r="K185" s="5" cm="1">
        <f t="array" ref="K185">IFERROR(AVERAGE(IF((OutputTable[GroupByKey]=OutputTable[[#This Row],[GroupByKey]]),(OutputTable[GroupByKey]=OutputTable[[#This Row],[GroupByKey]])*OutputTable[RecordedValue])),0)</f>
        <v>0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" s="5" cm="1">
        <f t="array" ref="O185">MIN(IF((OutputTable[GroupByKey]=OutputTable[[#This Row],[GroupByKey]]),(OutputTable[GroupByKey]=OutputTable[[#This Row],[GroupByKey]])*OutputTable[RecordedValue]))</f>
        <v>0</v>
      </c>
      <c r="P185" s="5" cm="1">
        <f t="array" ref="P185">MAX(IF((OutputTable[GroupByKey]=OutputTable[[#This Row],[GroupByKey]]),(OutputTable[GroupByKey]=OutputTable[[#This Row],[GroupByKey]])*OutputTable[RecordedValue]))</f>
        <v>0</v>
      </c>
    </row>
    <row r="186" spans="1:16" x14ac:dyDescent="0.25">
      <c r="A186" t="s">
        <v>68</v>
      </c>
      <c r="B186" t="s">
        <v>70</v>
      </c>
      <c r="C186">
        <v>4</v>
      </c>
      <c r="D186" t="s">
        <v>125</v>
      </c>
      <c r="E186" t="s">
        <v>88</v>
      </c>
      <c r="F186" t="s">
        <v>124</v>
      </c>
      <c r="G186">
        <v>0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</v>
      </c>
      <c r="K186" s="5" cm="1">
        <f t="array" ref="K186">IFERROR(AVERAGE(IF((OutputTable[GroupByKey]=OutputTable[[#This Row],[GroupByKey]]),(OutputTable[GroupByKey]=OutputTable[[#This Row],[GroupByKey]])*OutputTable[RecordedValue])),0)</f>
        <v>0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0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" s="5" cm="1">
        <f t="array" ref="O186">MIN(IF((OutputTable[GroupByKey]=OutputTable[[#This Row],[GroupByKey]]),(OutputTable[GroupByKey]=OutputTable[[#This Row],[GroupByKey]])*OutputTable[RecordedValue]))</f>
        <v>0</v>
      </c>
      <c r="P186" s="5" cm="1">
        <f t="array" ref="P186">MAX(IF((OutputTable[GroupByKey]=OutputTable[[#This Row],[GroupByKey]]),(OutputTable[GroupByKey]=OutputTable[[#This Row],[GroupByKey]])*OutputTable[RecordedValue]))</f>
        <v>0</v>
      </c>
    </row>
    <row r="187" spans="1:16" x14ac:dyDescent="0.25">
      <c r="A187" t="s">
        <v>68</v>
      </c>
      <c r="B187" t="s">
        <v>70</v>
      </c>
      <c r="C187">
        <v>4</v>
      </c>
      <c r="D187" t="s">
        <v>126</v>
      </c>
      <c r="E187" t="s">
        <v>90</v>
      </c>
      <c r="F187" t="s">
        <v>124</v>
      </c>
      <c r="G187">
        <v>206.05792548363399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</v>
      </c>
      <c r="K187" s="5" cm="1">
        <f t="array" ref="K187">IFERROR(AVERAGE(IF((OutputTable[GroupByKey]=OutputTable[[#This Row],[GroupByKey]]),(OutputTable[GroupByKey]=OutputTable[[#This Row],[GroupByKey]])*OutputTable[RecordedValue])),0)</f>
        <v>210.78541398558849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4.3015506850385421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87" s="5" cm="1">
        <f t="array" ref="O187">MIN(IF((OutputTable[GroupByKey]=OutputTable[[#This Row],[GroupByKey]]),(OutputTable[GroupByKey]=OutputTable[[#This Row],[GroupByKey]])*OutputTable[RecordedValue]))</f>
        <v>206.05792548363399</v>
      </c>
      <c r="P187" s="5" cm="1">
        <f t="array" ref="P187">MAX(IF((OutputTable[GroupByKey]=OutputTable[[#This Row],[GroupByKey]]),(OutputTable[GroupByKey]=OutputTable[[#This Row],[GroupByKey]])*OutputTable[RecordedValue]))</f>
        <v>215.56959882430399</v>
      </c>
    </row>
    <row r="188" spans="1:16" x14ac:dyDescent="0.25">
      <c r="A188" t="s">
        <v>68</v>
      </c>
      <c r="B188" t="s">
        <v>70</v>
      </c>
      <c r="C188">
        <v>4</v>
      </c>
      <c r="D188" t="s">
        <v>127</v>
      </c>
      <c r="E188" t="s">
        <v>128</v>
      </c>
      <c r="F188" t="s">
        <v>124</v>
      </c>
      <c r="G188">
        <v>0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</v>
      </c>
      <c r="K188" s="5" cm="1">
        <f t="array" ref="K188">IFERROR(AVERAGE(IF((OutputTable[GroupByKey]=OutputTable[[#This Row],[GroupByKey]]),(OutputTable[GroupByKey]=OutputTable[[#This Row],[GroupByKey]])*OutputTable[RecordedValue])),0)</f>
        <v>0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" s="5" cm="1">
        <f t="array" ref="O188">MIN(IF((OutputTable[GroupByKey]=OutputTable[[#This Row],[GroupByKey]]),(OutputTable[GroupByKey]=OutputTable[[#This Row],[GroupByKey]])*OutputTable[RecordedValue]))</f>
        <v>0</v>
      </c>
      <c r="P188" s="5" cm="1">
        <f t="array" ref="P188">MAX(IF((OutputTable[GroupByKey]=OutputTable[[#This Row],[GroupByKey]]),(OutputTable[GroupByKey]=OutputTable[[#This Row],[GroupByKey]])*OutputTable[RecordedValue]))</f>
        <v>0</v>
      </c>
    </row>
    <row r="189" spans="1:16" x14ac:dyDescent="0.25">
      <c r="A189" t="s">
        <v>68</v>
      </c>
      <c r="B189" t="s">
        <v>70</v>
      </c>
      <c r="C189">
        <v>4</v>
      </c>
      <c r="D189" t="s">
        <v>129</v>
      </c>
      <c r="E189" t="s">
        <v>94</v>
      </c>
      <c r="F189" t="s">
        <v>124</v>
      </c>
      <c r="G189">
        <v>206.05792548363399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</v>
      </c>
      <c r="K189" s="5" cm="1">
        <f t="array" ref="K189">IFERROR(AVERAGE(IF((OutputTable[GroupByKey]=OutputTable[[#This Row],[GroupByKey]]),(OutputTable[GroupByKey]=OutputTable[[#This Row],[GroupByKey]])*OutputTable[RecordedValue])),0)</f>
        <v>210.78541398558849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4.3015506850385421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89" s="5" cm="1">
        <f t="array" ref="O189">MIN(IF((OutputTable[GroupByKey]=OutputTable[[#This Row],[GroupByKey]]),(OutputTable[GroupByKey]=OutputTable[[#This Row],[GroupByKey]])*OutputTable[RecordedValue]))</f>
        <v>206.05792548363399</v>
      </c>
      <c r="P189" s="5" cm="1">
        <f t="array" ref="P189">MAX(IF((OutputTable[GroupByKey]=OutputTable[[#This Row],[GroupByKey]]),(OutputTable[GroupByKey]=OutputTable[[#This Row],[GroupByKey]])*OutputTable[RecordedValue]))</f>
        <v>215.56959882430399</v>
      </c>
    </row>
    <row r="190" spans="1:16" x14ac:dyDescent="0.25">
      <c r="A190" t="s">
        <v>68</v>
      </c>
      <c r="B190" t="s">
        <v>70</v>
      </c>
      <c r="C190">
        <v>4</v>
      </c>
      <c r="D190" t="s">
        <v>130</v>
      </c>
      <c r="E190" t="s">
        <v>96</v>
      </c>
      <c r="F190" t="s">
        <v>124</v>
      </c>
      <c r="G190">
        <v>0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</v>
      </c>
      <c r="K190" s="5" cm="1">
        <f t="array" ref="K190">IFERROR(AVERAGE(IF((OutputTable[GroupByKey]=OutputTable[[#This Row],[GroupByKey]]),(OutputTable[GroupByKey]=OutputTable[[#This Row],[GroupByKey]])*OutputTable[RecordedValue])),0)</f>
        <v>0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0</v>
      </c>
      <c r="P190" s="5" cm="1">
        <f t="array" ref="P190">MAX(IF((OutputTable[GroupByKey]=OutputTable[[#This Row],[GroupByKey]]),(OutputTable[GroupByKey]=OutputTable[[#This Row],[GroupByKey]])*OutputTable[RecordedValue]))</f>
        <v>0</v>
      </c>
    </row>
    <row r="191" spans="1:16" x14ac:dyDescent="0.25">
      <c r="A191" t="s">
        <v>68</v>
      </c>
      <c r="B191" t="s">
        <v>70</v>
      </c>
      <c r="C191">
        <v>4</v>
      </c>
      <c r="D191" t="s">
        <v>131</v>
      </c>
      <c r="E191" t="s">
        <v>132</v>
      </c>
      <c r="F191" t="s">
        <v>124</v>
      </c>
      <c r="G191">
        <v>206.05792548363399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</v>
      </c>
      <c r="K191" s="5" cm="1">
        <f t="array" ref="K191">IFERROR(AVERAGE(IF((OutputTable[GroupByKey]=OutputTable[[#This Row],[GroupByKey]]),(OutputTable[GroupByKey]=OutputTable[[#This Row],[GroupByKey]])*OutputTable[RecordedValue])),0)</f>
        <v>210.78541398558849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4.3015506850385421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191" s="5" cm="1">
        <f t="array" ref="O191">MIN(IF((OutputTable[GroupByKey]=OutputTable[[#This Row],[GroupByKey]]),(OutputTable[GroupByKey]=OutputTable[[#This Row],[GroupByKey]])*OutputTable[RecordedValue]))</f>
        <v>206.05792548363399</v>
      </c>
      <c r="P191" s="5" cm="1">
        <f t="array" ref="P191">MAX(IF((OutputTable[GroupByKey]=OutputTable[[#This Row],[GroupByKey]]),(OutputTable[GroupByKey]=OutputTable[[#This Row],[GroupByKey]])*OutputTable[RecordedValue]))</f>
        <v>215.56959882430399</v>
      </c>
    </row>
    <row r="192" spans="1:16" x14ac:dyDescent="0.25">
      <c r="A192" t="s">
        <v>68</v>
      </c>
      <c r="B192" t="s">
        <v>70</v>
      </c>
      <c r="C192">
        <v>4</v>
      </c>
      <c r="D192" t="s">
        <v>133</v>
      </c>
      <c r="E192" t="s">
        <v>134</v>
      </c>
      <c r="F192" t="s">
        <v>124</v>
      </c>
      <c r="G192">
        <v>9.34402440928719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</v>
      </c>
      <c r="K192" s="5" cm="1">
        <f t="array" ref="K192">IFERROR(AVERAGE(IF((OutputTable[GroupByKey]=OutputTable[[#This Row],[GroupByKey]]),(OutputTable[GroupByKey]=OutputTable[[#This Row],[GroupByKey]])*OutputTable[RecordedValue])),0)</f>
        <v>4.2300500576210318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4.2363178600656441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192" s="5" cm="1">
        <f t="array" ref="O192">MIN(IF((OutputTable[GroupByKey]=OutputTable[[#This Row],[GroupByKey]]),(OutputTable[GroupByKey]=OutputTable[[#This Row],[GroupByKey]])*OutputTable[RecordedValue]))</f>
        <v>0.14858336255221799</v>
      </c>
      <c r="P192" s="5" cm="1">
        <f t="array" ref="P192">MAX(IF((OutputTable[GroupByKey]=OutputTable[[#This Row],[GroupByKey]]),(OutputTable[GroupByKey]=OutputTable[[#This Row],[GroupByKey]])*OutputTable[RecordedValue]))</f>
        <v>9.34402440928719</v>
      </c>
    </row>
    <row r="193" spans="1:16" x14ac:dyDescent="0.25">
      <c r="A193" t="s">
        <v>68</v>
      </c>
      <c r="B193" t="s">
        <v>70</v>
      </c>
      <c r="C193">
        <v>4</v>
      </c>
      <c r="D193" t="s">
        <v>135</v>
      </c>
      <c r="E193" t="s">
        <v>90</v>
      </c>
      <c r="F193" t="s">
        <v>124</v>
      </c>
      <c r="G193">
        <v>215.40194989292101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</v>
      </c>
      <c r="K193" s="5" cm="1">
        <f t="array" ref="K193">IFERROR(AVERAGE(IF((OutputTable[GroupByKey]=OutputTable[[#This Row],[GroupByKey]]),(OutputTable[GroupByKey]=OutputTable[[#This Row],[GroupByKey]])*OutputTable[RecordedValue])),0)</f>
        <v>215.01546404320951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0.64228161231094227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193" s="5" cm="1">
        <f t="array" ref="O193">MIN(IF((OutputTable[GroupByKey]=OutputTable[[#This Row],[GroupByKey]]),(OutputTable[GroupByKey]=OutputTable[[#This Row],[GroupByKey]])*OutputTable[RecordedValue]))</f>
        <v>214.44626288468001</v>
      </c>
      <c r="P193" s="5" cm="1">
        <f t="array" ref="P193">MAX(IF((OutputTable[GroupByKey]=OutputTable[[#This Row],[GroupByKey]]),(OutputTable[GroupByKey]=OutputTable[[#This Row],[GroupByKey]])*OutputTable[RecordedValue]))</f>
        <v>215.71818218685601</v>
      </c>
    </row>
    <row r="194" spans="1:16" x14ac:dyDescent="0.25">
      <c r="A194" t="s">
        <v>68</v>
      </c>
      <c r="B194" t="s">
        <v>70</v>
      </c>
      <c r="C194">
        <v>4</v>
      </c>
      <c r="D194" t="s">
        <v>136</v>
      </c>
      <c r="E194" t="s">
        <v>137</v>
      </c>
      <c r="F194" t="s">
        <v>124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25">
      <c r="A195" t="s">
        <v>68</v>
      </c>
      <c r="B195" t="s">
        <v>70</v>
      </c>
      <c r="C195">
        <v>4</v>
      </c>
      <c r="D195" t="s">
        <v>138</v>
      </c>
      <c r="E195" t="s">
        <v>112</v>
      </c>
      <c r="F195" t="s">
        <v>73</v>
      </c>
      <c r="G195">
        <v>79.660934424486001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</v>
      </c>
      <c r="K195" s="5" cm="1">
        <f t="array" ref="K195">IFERROR(AVERAGE(IF((OutputTable[GroupByKey]=OutputTable[[#This Row],[GroupByKey]]),(OutputTable[GroupByKey]=OutputTable[[#This Row],[GroupByKey]])*OutputTable[RecordedValue])),0)</f>
        <v>76.928765378073209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3.2874890290420833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195" s="5" cm="1">
        <f t="array" ref="O195">MIN(IF((OutputTable[GroupByKey]=OutputTable[[#This Row],[GroupByKey]]),(OutputTable[GroupByKey]=OutputTable[[#This Row],[GroupByKey]])*OutputTable[RecordedValue]))</f>
        <v>72.601292971098701</v>
      </c>
      <c r="P195" s="5" cm="1">
        <f t="array" ref="P195">MAX(IF((OutputTable[GroupByKey]=OutputTable[[#This Row],[GroupByKey]]),(OutputTable[GroupByKey]=OutputTable[[#This Row],[GroupByKey]])*OutputTable[RecordedValue]))</f>
        <v>79.660934424486001</v>
      </c>
    </row>
    <row r="196" spans="1:16" x14ac:dyDescent="0.25">
      <c r="A196" t="s">
        <v>68</v>
      </c>
      <c r="B196" t="s">
        <v>70</v>
      </c>
      <c r="C196">
        <v>4</v>
      </c>
      <c r="D196" t="s">
        <v>139</v>
      </c>
      <c r="E196" t="s">
        <v>114</v>
      </c>
      <c r="F196" t="s">
        <v>73</v>
      </c>
      <c r="G196">
        <v>398.30467212243002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</v>
      </c>
      <c r="K196" s="5" cm="1">
        <f t="array" ref="K196">IFERROR(AVERAGE(IF((OutputTable[GroupByKey]=OutputTable[[#This Row],[GroupByKey]]),(OutputTable[GroupByKey]=OutputTable[[#This Row],[GroupByKey]])*OutputTable[RecordedValue])),0)</f>
        <v>384.64382689036626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16.437445145210162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26.155643285338851</v>
      </c>
      <c r="O196" s="5" cm="1">
        <f t="array" ref="O196">MIN(IF((OutputTable[GroupByKey]=OutputTable[[#This Row],[GroupByKey]]),(OutputTable[GroupByKey]=OutputTable[[#This Row],[GroupByKey]])*OutputTable[RecordedValue]))</f>
        <v>363.00646485549402</v>
      </c>
      <c r="P196" s="5" cm="1">
        <f t="array" ref="P196">MAX(IF((OutputTable[GroupByKey]=OutputTable[[#This Row],[GroupByKey]]),(OutputTable[GroupByKey]=OutputTable[[#This Row],[GroupByKey]])*OutputTable[RecordedValue]))</f>
        <v>398.30467212243002</v>
      </c>
    </row>
    <row r="197" spans="1:16" x14ac:dyDescent="0.25">
      <c r="A197" t="s">
        <v>68</v>
      </c>
      <c r="B197" t="s">
        <v>70</v>
      </c>
      <c r="C197">
        <v>4</v>
      </c>
      <c r="D197" t="s">
        <v>140</v>
      </c>
      <c r="E197" t="s">
        <v>141</v>
      </c>
      <c r="F197" t="s">
        <v>73</v>
      </c>
      <c r="G197">
        <v>0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</v>
      </c>
      <c r="K197" s="5" cm="1">
        <f t="array" ref="K197">IFERROR(AVERAGE(IF((OutputTable[GroupByKey]=OutputTable[[#This Row],[GroupByKey]]),(OutputTable[GroupByKey]=OutputTable[[#This Row],[GroupByKey]])*OutputTable[RecordedValue])),0)</f>
        <v>0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" s="5" cm="1">
        <f t="array" ref="O197">MIN(IF((OutputTable[GroupByKey]=OutputTable[[#This Row],[GroupByKey]]),(OutputTable[GroupByKey]=OutputTable[[#This Row],[GroupByKey]])*OutputTable[RecordedValue]))</f>
        <v>0</v>
      </c>
      <c r="P197" s="5" cm="1">
        <f t="array" ref="P197">MAX(IF((OutputTable[GroupByKey]=OutputTable[[#This Row],[GroupByKey]]),(OutputTable[GroupByKey]=OutputTable[[#This Row],[GroupByKey]])*OutputTable[RecordedValue]))</f>
        <v>0</v>
      </c>
    </row>
    <row r="198" spans="1:16" x14ac:dyDescent="0.25">
      <c r="A198" t="s">
        <v>68</v>
      </c>
      <c r="B198" t="s">
        <v>70</v>
      </c>
      <c r="C198">
        <v>4</v>
      </c>
      <c r="D198" t="s">
        <v>142</v>
      </c>
      <c r="E198" t="s">
        <v>143</v>
      </c>
      <c r="F198" t="s">
        <v>73</v>
      </c>
      <c r="G198">
        <v>11006.7865087543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</v>
      </c>
      <c r="K198" s="5" cm="1">
        <f t="array" ref="K198">IFERROR(AVERAGE(IF((OutputTable[GroupByKey]=OutputTable[[#This Row],[GroupByKey]]),(OutputTable[GroupByKey]=OutputTable[[#This Row],[GroupByKey]])*OutputTable[RecordedValue])),0)</f>
        <v>12692.581721271574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2222.7996146344935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3536.9702104897965</v>
      </c>
      <c r="O198" s="5" cm="1">
        <f t="array" ref="O198">MIN(IF((OutputTable[GroupByKey]=OutputTable[[#This Row],[GroupByKey]]),(OutputTable[GroupByKey]=OutputTable[[#This Row],[GroupByKey]])*OutputTable[RecordedValue]))</f>
        <v>10542.4054832944</v>
      </c>
      <c r="P198" s="5" cm="1">
        <f t="array" ref="P198">MAX(IF((OutputTable[GroupByKey]=OutputTable[[#This Row],[GroupByKey]]),(OutputTable[GroupByKey]=OutputTable[[#This Row],[GroupByKey]])*OutputTable[RecordedValue]))</f>
        <v>14613.0717473656</v>
      </c>
    </row>
    <row r="199" spans="1:16" x14ac:dyDescent="0.25">
      <c r="A199" t="s">
        <v>68</v>
      </c>
      <c r="B199" t="s">
        <v>70</v>
      </c>
      <c r="C199">
        <v>4</v>
      </c>
      <c r="D199" t="s">
        <v>144</v>
      </c>
      <c r="E199" t="s">
        <v>116</v>
      </c>
      <c r="F199" t="s">
        <v>73</v>
      </c>
      <c r="G199">
        <v>283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</v>
      </c>
      <c r="K199" s="5" cm="1">
        <f t="array" ref="K199">IFERROR(AVERAGE(IF((OutputTable[GroupByKey]=OutputTable[[#This Row],[GroupByKey]]),(OutputTable[GroupByKey]=OutputTable[[#This Row],[GroupByKey]])*OutputTable[RecordedValue])),0)</f>
        <v>287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9.3452305125841235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199" s="5" cm="1">
        <f t="array" ref="O199">MIN(IF((OutputTable[GroupByKey]=OutputTable[[#This Row],[GroupByKey]]),(OutputTable[GroupByKey]=OutputTable[[#This Row],[GroupByKey]])*OutputTable[RecordedValue]))</f>
        <v>276</v>
      </c>
      <c r="P199" s="5" cm="1">
        <f t="array" ref="P199">MAX(IF((OutputTable[GroupByKey]=OutputTable[[#This Row],[GroupByKey]]),(OutputTable[GroupByKey]=OutputTable[[#This Row],[GroupByKey]])*OutputTable[RecordedValue]))</f>
        <v>297</v>
      </c>
    </row>
    <row r="200" spans="1:16" x14ac:dyDescent="0.25">
      <c r="A200" t="s">
        <v>68</v>
      </c>
      <c r="B200" t="s">
        <v>70</v>
      </c>
      <c r="C200">
        <v>4</v>
      </c>
      <c r="D200" t="s">
        <v>145</v>
      </c>
      <c r="E200" t="s">
        <v>118</v>
      </c>
      <c r="F200" t="s">
        <v>73</v>
      </c>
      <c r="G200">
        <v>233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</v>
      </c>
      <c r="K200" s="5" cm="1">
        <f t="array" ref="K200">IFERROR(AVERAGE(IF((OutputTable[GroupByKey]=OutputTable[[#This Row],[GroupByKey]]),(OutputTable[GroupByKey]=OutputTable[[#This Row],[GroupByKey]])*OutputTable[RecordedValue])),0)</f>
        <v>224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9.8994949366116654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15.752305542597284</v>
      </c>
      <c r="O200" s="5" cm="1">
        <f t="array" ref="O200">MIN(IF((OutputTable[GroupByKey]=OutputTable[[#This Row],[GroupByKey]]),(OutputTable[GroupByKey]=OutputTable[[#This Row],[GroupByKey]])*OutputTable[RecordedValue]))</f>
        <v>214</v>
      </c>
      <c r="P200" s="5" cm="1">
        <f t="array" ref="P200">MAX(IF((OutputTable[GroupByKey]=OutputTable[[#This Row],[GroupByKey]]),(OutputTable[GroupByKey]=OutputTable[[#This Row],[GroupByKey]])*OutputTable[RecordedValue]))</f>
        <v>233</v>
      </c>
    </row>
    <row r="201" spans="1:16" x14ac:dyDescent="0.25">
      <c r="A201" t="s">
        <v>68</v>
      </c>
      <c r="B201" t="s">
        <v>70</v>
      </c>
      <c r="C201">
        <v>4</v>
      </c>
      <c r="D201" t="s">
        <v>146</v>
      </c>
      <c r="E201" t="s">
        <v>120</v>
      </c>
      <c r="F201" t="s">
        <v>73</v>
      </c>
      <c r="G201">
        <v>79.660934424486001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</v>
      </c>
      <c r="K201" s="5" cm="1">
        <f t="array" ref="K201">IFERROR(AVERAGE(IF((OutputTable[GroupByKey]=OutputTable[[#This Row],[GroupByKey]]),(OutputTable[GroupByKey]=OutputTable[[#This Row],[GroupByKey]])*OutputTable[RecordedValue])),0)</f>
        <v>76.928765378073209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3.2874890290420833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5.2311286570678508</v>
      </c>
      <c r="O201" s="5" cm="1">
        <f t="array" ref="O201">MIN(IF((OutputTable[GroupByKey]=OutputTable[[#This Row],[GroupByKey]]),(OutputTable[GroupByKey]=OutputTable[[#This Row],[GroupByKey]])*OutputTable[RecordedValue]))</f>
        <v>72.601292971098701</v>
      </c>
      <c r="P201" s="5" cm="1">
        <f t="array" ref="P201">MAX(IF((OutputTable[GroupByKey]=OutputTable[[#This Row],[GroupByKey]]),(OutputTable[GroupByKey]=OutputTable[[#This Row],[GroupByKey]])*OutputTable[RecordedValue]))</f>
        <v>79.660934424486001</v>
      </c>
    </row>
    <row r="202" spans="1:16" x14ac:dyDescent="0.25">
      <c r="A202" t="s">
        <v>68</v>
      </c>
      <c r="B202" t="s">
        <v>70</v>
      </c>
      <c r="C202">
        <v>4</v>
      </c>
      <c r="D202" t="s">
        <v>147</v>
      </c>
      <c r="E202" t="s">
        <v>122</v>
      </c>
      <c r="F202" t="s">
        <v>73</v>
      </c>
      <c r="G202">
        <v>11405.0911808768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</v>
      </c>
      <c r="K202" s="5" cm="1">
        <f t="array" ref="K202">IFERROR(AVERAGE(IF((OutputTable[GroupByKey]=OutputTable[[#This Row],[GroupByKey]]),(OutputTable[GroupByKey]=OutputTable[[#This Row],[GroupByKey]])*OutputTable[RecordedValue])),0)</f>
        <v>13077.22554816195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2228.6642699814252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3546.3021858600991</v>
      </c>
      <c r="O202" s="5" cm="1">
        <f t="array" ref="O202">MIN(IF((OutputTable[GroupByKey]=OutputTable[[#This Row],[GroupByKey]]),(OutputTable[GroupByKey]=OutputTable[[#This Row],[GroupByKey]])*OutputTable[RecordedValue]))</f>
        <v>10905.4119481499</v>
      </c>
      <c r="P202" s="5" cm="1">
        <f t="array" ref="P202">MAX(IF((OutputTable[GroupByKey]=OutputTable[[#This Row],[GroupByKey]]),(OutputTable[GroupByKey]=OutputTable[[#This Row],[GroupByKey]])*OutputTable[RecordedValue]))</f>
        <v>15004.5680408265</v>
      </c>
    </row>
    <row r="203" spans="1:16" x14ac:dyDescent="0.25">
      <c r="A203" t="s">
        <v>68</v>
      </c>
      <c r="B203" t="s">
        <v>70</v>
      </c>
      <c r="C203">
        <v>4</v>
      </c>
      <c r="D203" t="s">
        <v>148</v>
      </c>
      <c r="E203" t="s">
        <v>116</v>
      </c>
      <c r="F203" t="s">
        <v>86</v>
      </c>
      <c r="G203">
        <v>283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</v>
      </c>
      <c r="K203" s="5" cm="1">
        <f t="array" ref="K203">IFERROR(AVERAGE(IF((OutputTable[GroupByKey]=OutputTable[[#This Row],[GroupByKey]]),(OutputTable[GroupByKey]=OutputTable[[#This Row],[GroupByKey]])*OutputTable[RecordedValue])),0)</f>
        <v>287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9.3452305125841235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14.870347158398957</v>
      </c>
      <c r="O203" s="5" cm="1">
        <f t="array" ref="O203">MIN(IF((OutputTable[GroupByKey]=OutputTable[[#This Row],[GroupByKey]]),(OutputTable[GroupByKey]=OutputTable[[#This Row],[GroupByKey]])*OutputTable[RecordedValue]))</f>
        <v>276</v>
      </c>
      <c r="P203" s="5" cm="1">
        <f t="array" ref="P203">MAX(IF((OutputTable[GroupByKey]=OutputTable[[#This Row],[GroupByKey]]),(OutputTable[GroupByKey]=OutputTable[[#This Row],[GroupByKey]])*OutputTable[RecordedValue]))</f>
        <v>297</v>
      </c>
    </row>
    <row r="204" spans="1:16" x14ac:dyDescent="0.25">
      <c r="A204" t="s">
        <v>68</v>
      </c>
      <c r="B204" t="s">
        <v>70</v>
      </c>
      <c r="C204">
        <v>4</v>
      </c>
      <c r="D204" t="s">
        <v>149</v>
      </c>
      <c r="E204" t="s">
        <v>118</v>
      </c>
      <c r="F204" t="s">
        <v>86</v>
      </c>
      <c r="G204">
        <v>177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</v>
      </c>
      <c r="K204" s="5" cm="1">
        <f t="array" ref="K204">IFERROR(AVERAGE(IF((OutputTable[GroupByKey]=OutputTable[[#This Row],[GroupByKey]]),(OutputTable[GroupByKey]=OutputTable[[#This Row],[GroupByKey]])*OutputTable[RecordedValue])),0)</f>
        <v>179.25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5.315072906367325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204" s="5" cm="1">
        <f t="array" ref="O204">MIN(IF((OutputTable[GroupByKey]=OutputTable[[#This Row],[GroupByKey]]),(OutputTable[GroupByKey]=OutputTable[[#This Row],[GroupByKey]])*OutputTable[RecordedValue]))</f>
        <v>173</v>
      </c>
      <c r="P204" s="5" cm="1">
        <f t="array" ref="P204">MAX(IF((OutputTable[GroupByKey]=OutputTable[[#This Row],[GroupByKey]]),(OutputTable[GroupByKey]=OutputTable[[#This Row],[GroupByKey]])*OutputTable[RecordedValue]))</f>
        <v>185</v>
      </c>
    </row>
    <row r="205" spans="1:16" x14ac:dyDescent="0.25">
      <c r="A205" t="s">
        <v>68</v>
      </c>
      <c r="B205" t="s">
        <v>70</v>
      </c>
      <c r="C205">
        <v>4</v>
      </c>
      <c r="D205" t="s">
        <v>150</v>
      </c>
      <c r="E205" t="s">
        <v>112</v>
      </c>
      <c r="F205" t="s">
        <v>73</v>
      </c>
      <c r="G205">
        <v>3.8705214634162899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AnalysisExtra Bag Check Accum VA CostAccum VA CostProcess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</v>
      </c>
      <c r="K205" s="5" cm="1">
        <f t="array" ref="K205">IFERROR(AVERAGE(IF((OutputTable[GroupByKey]=OutputTable[[#This Row],[GroupByKey]]),(OutputTable[GroupByKey]=OutputTable[[#This Row],[GroupByKey]])*OutputTable[RecordedValue])),0)</f>
        <v>6.6317073247458076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3.4431401159439399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205" s="5" cm="1">
        <f t="array" ref="O205">MIN(IF((OutputTable[GroupByKey]=OutputTable[[#This Row],[GroupByKey]]),(OutputTable[GroupByKey]=OutputTable[[#This Row],[GroupByKey]])*OutputTable[RecordedValue]))</f>
        <v>3.8705214634162899</v>
      </c>
      <c r="P205" s="5" cm="1">
        <f t="array" ref="P205">MAX(IF((OutputTable[GroupByKey]=OutputTable[[#This Row],[GroupByKey]]),(OutputTable[GroupByKey]=OutputTable[[#This Row],[GroupByKey]])*OutputTable[RecordedValue]))</f>
        <v>11.390004494043801</v>
      </c>
    </row>
    <row r="206" spans="1:16" x14ac:dyDescent="0.25">
      <c r="A206" t="s">
        <v>68</v>
      </c>
      <c r="B206" t="s">
        <v>70</v>
      </c>
      <c r="C206">
        <v>4</v>
      </c>
      <c r="D206" t="s">
        <v>151</v>
      </c>
      <c r="E206" t="s">
        <v>114</v>
      </c>
      <c r="F206" t="s">
        <v>73</v>
      </c>
      <c r="G206">
        <v>19.3526073170814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AnalysisExtra Bag Check Accum VA TimeAccum VA TimeProcess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</v>
      </c>
      <c r="K206" s="5" cm="1">
        <f t="array" ref="K206">IFERROR(AVERAGE(IF((OutputTable[GroupByKey]=OutputTable[[#This Row],[GroupByKey]]),(OutputTable[GroupByKey]=OutputTable[[#This Row],[GroupByKey]])*OutputTable[RecordedValue])),0)</f>
        <v>33.158536623728978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17.21570057971962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27.394021351399644</v>
      </c>
      <c r="O206" s="5" cm="1">
        <f t="array" ref="O206">MIN(IF((OutputTable[GroupByKey]=OutputTable[[#This Row],[GroupByKey]]),(OutputTable[GroupByKey]=OutputTable[[#This Row],[GroupByKey]])*OutputTable[RecordedValue]))</f>
        <v>19.3526073170814</v>
      </c>
      <c r="P206" s="5" cm="1">
        <f t="array" ref="P206">MAX(IF((OutputTable[GroupByKey]=OutputTable[[#This Row],[GroupByKey]]),(OutputTable[GroupByKey]=OutputTable[[#This Row],[GroupByKey]])*OutputTable[RecordedValue]))</f>
        <v>56.950022470218798</v>
      </c>
    </row>
    <row r="207" spans="1:16" x14ac:dyDescent="0.25">
      <c r="A207" t="s">
        <v>68</v>
      </c>
      <c r="B207" t="s">
        <v>70</v>
      </c>
      <c r="C207">
        <v>4</v>
      </c>
      <c r="D207" t="s">
        <v>152</v>
      </c>
      <c r="E207" t="s">
        <v>141</v>
      </c>
      <c r="F207" t="s">
        <v>73</v>
      </c>
      <c r="G207">
        <v>0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AnalysisExtra Bag Check Accum Wait CostAccum Wait CostProcess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</v>
      </c>
      <c r="K207" s="5" cm="1">
        <f t="array" ref="K207">IFERROR(AVERAGE(IF((OutputTable[GroupByKey]=OutputTable[[#This Row],[GroupByKey]]),(OutputTable[GroupByKey]=OutputTable[[#This Row],[GroupByKey]])*OutputTable[RecordedValue])),0)</f>
        <v>0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" s="5" cm="1">
        <f t="array" ref="O207">MIN(IF((OutputTable[GroupByKey]=OutputTable[[#This Row],[GroupByKey]]),(OutputTable[GroupByKey]=OutputTable[[#This Row],[GroupByKey]])*OutputTable[RecordedValue]))</f>
        <v>0</v>
      </c>
      <c r="P207" s="5" cm="1">
        <f t="array" ref="P207">MAX(IF((OutputTable[GroupByKey]=OutputTable[[#This Row],[GroupByKey]]),(OutputTable[GroupByKey]=OutputTable[[#This Row],[GroupByKey]])*OutputTable[RecordedValue]))</f>
        <v>0</v>
      </c>
    </row>
    <row r="208" spans="1:16" x14ac:dyDescent="0.25">
      <c r="A208" t="s">
        <v>68</v>
      </c>
      <c r="B208" t="s">
        <v>70</v>
      </c>
      <c r="C208">
        <v>4</v>
      </c>
      <c r="D208" t="s">
        <v>153</v>
      </c>
      <c r="E208" t="s">
        <v>143</v>
      </c>
      <c r="F208" t="s">
        <v>73</v>
      </c>
      <c r="G208">
        <v>96.9944662297289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AnalysisExtra Bag Check Accum Wait TimeAccum Wait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</v>
      </c>
      <c r="K208" s="5" cm="1">
        <f t="array" ref="K208">IFERROR(AVERAGE(IF((OutputTable[GroupByKey]=OutputTable[[#This Row],[GroupByKey]]),(OutputTable[GroupByKey]=OutputTable[[#This Row],[GroupByKey]])*OutputTable[RecordedValue])),0)</f>
        <v>176.41164102787997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81.720013644737534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130.03477774571456</v>
      </c>
      <c r="O208" s="5" cm="1">
        <f t="array" ref="O208">MIN(IF((OutputTable[GroupByKey]=OutputTable[[#This Row],[GroupByKey]]),(OutputTable[GroupByKey]=OutputTable[[#This Row],[GroupByKey]])*OutputTable[RecordedValue]))</f>
        <v>96.9944662297289</v>
      </c>
      <c r="P208" s="5" cm="1">
        <f t="array" ref="P208">MAX(IF((OutputTable[GroupByKey]=OutputTable[[#This Row],[GroupByKey]]),(OutputTable[GroupByKey]=OutputTable[[#This Row],[GroupByKey]])*OutputTable[RecordedValue]))</f>
        <v>275.19812426113498</v>
      </c>
    </row>
    <row r="209" spans="1:16" x14ac:dyDescent="0.25">
      <c r="A209" t="s">
        <v>68</v>
      </c>
      <c r="B209" t="s">
        <v>70</v>
      </c>
      <c r="C209">
        <v>4</v>
      </c>
      <c r="D209" t="s">
        <v>154</v>
      </c>
      <c r="E209" t="s">
        <v>116</v>
      </c>
      <c r="F209" t="s">
        <v>73</v>
      </c>
      <c r="G209">
        <v>2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AnalysisExtra Bag Check Number InNumber InProcess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</v>
      </c>
      <c r="K209" s="5" cm="1">
        <f t="array" ref="K209">IFERROR(AVERAGE(IF((OutputTable[GroupByKey]=OutputTable[[#This Row],[GroupByKey]]),(OutputTable[GroupByKey]=OutputTable[[#This Row],[GroupByKey]])*OutputTable[RecordedValue])),0)</f>
        <v>3.75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1.2583057392117916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2.0022452253359253</v>
      </c>
      <c r="O209" s="5" cm="1">
        <f t="array" ref="O209">MIN(IF((OutputTable[GroupByKey]=OutputTable[[#This Row],[GroupByKey]]),(OutputTable[GroupByKey]=OutputTable[[#This Row],[GroupByKey]])*OutputTable[RecordedValue]))</f>
        <v>2</v>
      </c>
      <c r="P209" s="5" cm="1">
        <f t="array" ref="P209">MAX(IF((OutputTable[GroupByKey]=OutputTable[[#This Row],[GroupByKey]]),(OutputTable[GroupByKey]=OutputTable[[#This Row],[GroupByKey]])*OutputTable[RecordedValue]))</f>
        <v>5</v>
      </c>
    </row>
    <row r="210" spans="1:16" x14ac:dyDescent="0.25">
      <c r="A210" t="s">
        <v>68</v>
      </c>
      <c r="B210" t="s">
        <v>70</v>
      </c>
      <c r="C210">
        <v>4</v>
      </c>
      <c r="D210" t="s">
        <v>155</v>
      </c>
      <c r="E210" t="s">
        <v>118</v>
      </c>
      <c r="F210" t="s">
        <v>73</v>
      </c>
      <c r="G210">
        <v>2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AnalysisExtra Bag Check Number OutNumber OutProcess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</v>
      </c>
      <c r="K210" s="5" cm="1">
        <f t="array" ref="K210">IFERROR(AVERAGE(IF((OutputTable[GroupByKey]=OutputTable[[#This Row],[GroupByKey]]),(OutputTable[GroupByKey]=OutputTable[[#This Row],[GroupByKey]])*OutputTable[RecordedValue])),0)</f>
        <v>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0.81649658092772603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210" s="5" cm="1">
        <f t="array" ref="O210">MIN(IF((OutputTable[GroupByKey]=OutputTable[[#This Row],[GroupByKey]]),(OutputTable[GroupByKey]=OutputTable[[#This Row],[GroupByKey]])*OutputTable[RecordedValue]))</f>
        <v>2</v>
      </c>
      <c r="P210" s="5" cm="1">
        <f t="array" ref="P210">MAX(IF((OutputTable[GroupByKey]=OutputTable[[#This Row],[GroupByKey]]),(OutputTable[GroupByKey]=OutputTable[[#This Row],[GroupByKey]])*OutputTable[RecordedValue]))</f>
        <v>4</v>
      </c>
    </row>
    <row r="211" spans="1:16" x14ac:dyDescent="0.25">
      <c r="A211" t="s">
        <v>68</v>
      </c>
      <c r="B211" t="s">
        <v>70</v>
      </c>
      <c r="C211">
        <v>4</v>
      </c>
      <c r="D211" t="s">
        <v>156</v>
      </c>
      <c r="E211" t="s">
        <v>120</v>
      </c>
      <c r="F211" t="s">
        <v>73</v>
      </c>
      <c r="G211">
        <v>3.8705214634162899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AnalysisExtra Bag Check Total Accum CostTotal Accum CostProcess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</v>
      </c>
      <c r="K211" s="5" cm="1">
        <f t="array" ref="K211">IFERROR(AVERAGE(IF((OutputTable[GroupByKey]=OutputTable[[#This Row],[GroupByKey]]),(OutputTable[GroupByKey]=OutputTable[[#This Row],[GroupByKey]])*OutputTable[RecordedValue])),0)</f>
        <v>6.6317073247458076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3.4431401159439399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5.4788042702799542</v>
      </c>
      <c r="O211" s="5" cm="1">
        <f t="array" ref="O211">MIN(IF((OutputTable[GroupByKey]=OutputTable[[#This Row],[GroupByKey]]),(OutputTable[GroupByKey]=OutputTable[[#This Row],[GroupByKey]])*OutputTable[RecordedValue]))</f>
        <v>3.8705214634162899</v>
      </c>
      <c r="P211" s="5" cm="1">
        <f t="array" ref="P211">MAX(IF((OutputTable[GroupByKey]=OutputTable[[#This Row],[GroupByKey]]),(OutputTable[GroupByKey]=OutputTable[[#This Row],[GroupByKey]])*OutputTable[RecordedValue]))</f>
        <v>11.390004494043801</v>
      </c>
    </row>
    <row r="212" spans="1:16" x14ac:dyDescent="0.25">
      <c r="A212" t="s">
        <v>68</v>
      </c>
      <c r="B212" t="s">
        <v>70</v>
      </c>
      <c r="C212">
        <v>4</v>
      </c>
      <c r="D212" t="s">
        <v>157</v>
      </c>
      <c r="E212" t="s">
        <v>122</v>
      </c>
      <c r="F212" t="s">
        <v>73</v>
      </c>
      <c r="G212">
        <v>116.34707354680999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AnalysisExtra Bag Check Total Accum TimeTotal Accum TimeProcess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</v>
      </c>
      <c r="K212" s="5" cm="1">
        <f t="array" ref="K212">IFERROR(AVERAGE(IF((OutputTable[GroupByKey]=OutputTable[[#This Row],[GroupByKey]]),(OutputTable[GroupByKey]=OutputTable[[#This Row],[GroupByKey]])*OutputTable[RecordedValue])),0)</f>
        <v>209.57017765160899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81.85027903248286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130.24205904668281</v>
      </c>
      <c r="O212" s="5" cm="1">
        <f t="array" ref="O212">MIN(IF((OutputTable[GroupByKey]=OutputTable[[#This Row],[GroupByKey]]),(OutputTable[GroupByKey]=OutputTable[[#This Row],[GroupByKey]])*OutputTable[RecordedValue]))</f>
        <v>116.34707354680999</v>
      </c>
      <c r="P212" s="5" cm="1">
        <f t="array" ref="P212">MAX(IF((OutputTable[GroupByKey]=OutputTable[[#This Row],[GroupByKey]]),(OutputTable[GroupByKey]=OutputTable[[#This Row],[GroupByKey]])*OutputTable[RecordedValue]))</f>
        <v>309.79221392417901</v>
      </c>
    </row>
    <row r="213" spans="1:16" x14ac:dyDescent="0.25">
      <c r="A213" t="s">
        <v>68</v>
      </c>
      <c r="B213" t="s">
        <v>70</v>
      </c>
      <c r="C213">
        <v>4</v>
      </c>
      <c r="D213" t="s">
        <v>158</v>
      </c>
      <c r="E213" t="s">
        <v>132</v>
      </c>
      <c r="F213" t="s">
        <v>106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</v>
      </c>
      <c r="K213" s="5" cm="1">
        <f t="array" ref="K213">IFERROR(AVERAGE(IF((OutputTable[GroupByKey]=OutputTable[[#This Row],[GroupByKey]]),(OutputTable[GroupByKey]=OutputTable[[#This Row],[GroupByKey]])*OutputTable[RecordedValue])),0)</f>
        <v>0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70</v>
      </c>
      <c r="C214">
        <v>4</v>
      </c>
      <c r="D214" t="s">
        <v>159</v>
      </c>
      <c r="E214" t="s">
        <v>134</v>
      </c>
      <c r="F214" t="s">
        <v>106</v>
      </c>
      <c r="G214">
        <v>0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</v>
      </c>
      <c r="K214" s="5" cm="1">
        <f t="array" ref="K214">IFERROR(AVERAGE(IF((OutputTable[GroupByKey]=OutputTable[[#This Row],[GroupByKey]]),(OutputTable[GroupByKey]=OutputTable[[#This Row],[GroupByKey]])*OutputTable[RecordedValue])),0)</f>
        <v>0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" s="5" cm="1">
        <f t="array" ref="O214">MIN(IF((OutputTable[GroupByKey]=OutputTable[[#This Row],[GroupByKey]]),(OutputTable[GroupByKey]=OutputTable[[#This Row],[GroupByKey]])*OutputTable[RecordedValue]))</f>
        <v>0</v>
      </c>
      <c r="P214" s="5" cm="1">
        <f t="array" ref="P214">MAX(IF((OutputTable[GroupByKey]=OutputTable[[#This Row],[GroupByKey]]),(OutputTable[GroupByKey]=OutputTable[[#This Row],[GroupByKey]])*OutputTable[RecordedValue]))</f>
        <v>0</v>
      </c>
    </row>
    <row r="215" spans="1:16" x14ac:dyDescent="0.25">
      <c r="A215" t="s">
        <v>68</v>
      </c>
      <c r="B215" t="s">
        <v>70</v>
      </c>
      <c r="C215">
        <v>4</v>
      </c>
      <c r="D215" t="s">
        <v>160</v>
      </c>
      <c r="E215" t="s">
        <v>161</v>
      </c>
      <c r="F215" t="s">
        <v>106</v>
      </c>
      <c r="G215">
        <v>2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</v>
      </c>
      <c r="K215" s="5" cm="1">
        <f t="array" ref="K215">IFERROR(AVERAGE(IF((OutputTable[GroupByKey]=OutputTable[[#This Row],[GroupByKey]]),(OutputTable[GroupByKey]=OutputTable[[#This Row],[GroupByKey]])*OutputTable[RecordedValue])),0)</f>
        <v>3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0.81649658092772603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1.2992282636251109</v>
      </c>
      <c r="O215" s="5" cm="1">
        <f t="array" ref="O215">MIN(IF((OutputTable[GroupByKey]=OutputTable[[#This Row],[GroupByKey]]),(OutputTable[GroupByKey]=OutputTable[[#This Row],[GroupByKey]])*OutputTable[RecordedValue]))</f>
        <v>2</v>
      </c>
      <c r="P215" s="5" cm="1">
        <f t="array" ref="P215">MAX(IF((OutputTable[GroupByKey]=OutputTable[[#This Row],[GroupByKey]]),(OutputTable[GroupByKey]=OutputTable[[#This Row],[GroupByKey]])*OutputTable[RecordedValue]))</f>
        <v>4</v>
      </c>
    </row>
    <row r="216" spans="1:16" x14ac:dyDescent="0.25">
      <c r="A216" t="s">
        <v>68</v>
      </c>
      <c r="B216" t="s">
        <v>70</v>
      </c>
      <c r="C216">
        <v>4</v>
      </c>
      <c r="D216" t="s">
        <v>162</v>
      </c>
      <c r="E216" t="s">
        <v>163</v>
      </c>
      <c r="F216" t="s">
        <v>106</v>
      </c>
      <c r="G216">
        <v>3.5838161698299002E-2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</v>
      </c>
      <c r="K216" s="5" cm="1">
        <f t="array" ref="K216">IFERROR(AVERAGE(IF((OutputTable[GroupByKey]=OutputTable[[#This Row],[GroupByKey]]),(OutputTable[GroupByKey]=OutputTable[[#This Row],[GroupByKey]])*OutputTable[RecordedValue])),0)</f>
        <v>6.1404697451349924E-2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3.1880926999480634E-2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5.0729669169258376E-2</v>
      </c>
      <c r="O216" s="5" cm="1">
        <f t="array" ref="O216">MIN(IF((OutputTable[GroupByKey]=OutputTable[[#This Row],[GroupByKey]]),(OutputTable[GroupByKey]=OutputTable[[#This Row],[GroupByKey]])*OutputTable[RecordedValue]))</f>
        <v>3.5838161698299002E-2</v>
      </c>
      <c r="P216" s="5" cm="1">
        <f t="array" ref="P216">MAX(IF((OutputTable[GroupByKey]=OutputTable[[#This Row],[GroupByKey]]),(OutputTable[GroupByKey]=OutputTable[[#This Row],[GroupByKey]])*OutputTable[RecordedValue]))</f>
        <v>0.10546300457447901</v>
      </c>
    </row>
    <row r="217" spans="1:16" x14ac:dyDescent="0.25">
      <c r="A217" t="s">
        <v>68</v>
      </c>
      <c r="B217" t="s">
        <v>70</v>
      </c>
      <c r="C217">
        <v>4</v>
      </c>
      <c r="D217" t="s">
        <v>164</v>
      </c>
      <c r="E217" t="s">
        <v>137</v>
      </c>
      <c r="F217" t="s">
        <v>106</v>
      </c>
      <c r="G217">
        <v>0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</v>
      </c>
      <c r="K217" s="5" cm="1">
        <f t="array" ref="K217">IFERROR(AVERAGE(IF((OutputTable[GroupByKey]=OutputTable[[#This Row],[GroupByKey]]),(OutputTable[GroupByKey]=OutputTable[[#This Row],[GroupByKey]])*OutputTable[RecordedValue])),0)</f>
        <v>0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0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" s="5" cm="1">
        <f t="array" ref="O217">MIN(IF((OutputTable[GroupByKey]=OutputTable[[#This Row],[GroupByKey]]),(OutputTable[GroupByKey]=OutputTable[[#This Row],[GroupByKey]])*OutputTable[RecordedValue]))</f>
        <v>0</v>
      </c>
      <c r="P217" s="5" cm="1">
        <f t="array" ref="P217">MAX(IF((OutputTable[GroupByKey]=OutputTable[[#This Row],[GroupByKey]]),(OutputTable[GroupByKey]=OutputTable[[#This Row],[GroupByKey]])*OutputTable[RecordedValue]))</f>
        <v>0</v>
      </c>
    </row>
    <row r="218" spans="1:16" x14ac:dyDescent="0.25">
      <c r="A218" t="s">
        <v>68</v>
      </c>
      <c r="B218" t="s">
        <v>70</v>
      </c>
      <c r="C218">
        <v>4</v>
      </c>
      <c r="D218" t="s">
        <v>165</v>
      </c>
      <c r="E218" t="s">
        <v>118</v>
      </c>
      <c r="F218" t="s">
        <v>124</v>
      </c>
      <c r="G218">
        <v>177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</v>
      </c>
      <c r="K218" s="5" cm="1">
        <f t="array" ref="K218">IFERROR(AVERAGE(IF((OutputTable[GroupByKey]=OutputTable[[#This Row],[GroupByKey]]),(OutputTable[GroupByKey]=OutputTable[[#This Row],[GroupByKey]])*OutputTable[RecordedValue])),0)</f>
        <v>179.25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5.315072906367325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8.457467066591116</v>
      </c>
      <c r="O218" s="5" cm="1">
        <f t="array" ref="O218">MIN(IF((OutputTable[GroupByKey]=OutputTable[[#This Row],[GroupByKey]]),(OutputTable[GroupByKey]=OutputTable[[#This Row],[GroupByKey]])*OutputTable[RecordedValue]))</f>
        <v>173</v>
      </c>
      <c r="P218" s="5" cm="1">
        <f t="array" ref="P218">MAX(IF((OutputTable[GroupByKey]=OutputTable[[#This Row],[GroupByKey]]),(OutputTable[GroupByKey]=OutputTable[[#This Row],[GroupByKey]])*OutputTable[RecordedValue]))</f>
        <v>185</v>
      </c>
    </row>
    <row r="219" spans="1:16" x14ac:dyDescent="0.25">
      <c r="A219" t="s">
        <v>68</v>
      </c>
      <c r="B219" t="s">
        <v>70</v>
      </c>
      <c r="C219">
        <v>4</v>
      </c>
      <c r="D219" t="s">
        <v>166</v>
      </c>
      <c r="E219" t="s">
        <v>90</v>
      </c>
      <c r="F219" t="s">
        <v>124</v>
      </c>
      <c r="G219">
        <v>215.40194989292101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</v>
      </c>
      <c r="K219" s="5" cm="1">
        <f t="array" ref="K219">IFERROR(AVERAGE(IF((OutputTable[GroupByKey]=OutputTable[[#This Row],[GroupByKey]]),(OutputTable[GroupByKey]=OutputTable[[#This Row],[GroupByKey]])*OutputTable[RecordedValue])),0)</f>
        <v>215.01546404320951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0.64228161231094227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1.0220133720253106</v>
      </c>
      <c r="O219" s="5" cm="1">
        <f t="array" ref="O219">MIN(IF((OutputTable[GroupByKey]=OutputTable[[#This Row],[GroupByKey]]),(OutputTable[GroupByKey]=OutputTable[[#This Row],[GroupByKey]])*OutputTable[RecordedValue]))</f>
        <v>214.44626288468001</v>
      </c>
      <c r="P219" s="5" cm="1">
        <f t="array" ref="P219">MAX(IF((OutputTable[GroupByKey]=OutputTable[[#This Row],[GroupByKey]]),(OutputTable[GroupByKey]=OutputTable[[#This Row],[GroupByKey]])*OutputTable[RecordedValue]))</f>
        <v>215.71818218685601</v>
      </c>
    </row>
    <row r="220" spans="1:16" x14ac:dyDescent="0.25">
      <c r="A220" t="s">
        <v>68</v>
      </c>
      <c r="B220" t="s">
        <v>70</v>
      </c>
      <c r="C220">
        <v>4</v>
      </c>
      <c r="D220" t="s">
        <v>167</v>
      </c>
      <c r="E220" t="s">
        <v>132</v>
      </c>
      <c r="F220" t="s">
        <v>106</v>
      </c>
      <c r="G220">
        <v>206.05792548363399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</v>
      </c>
      <c r="K220" s="5" cm="1">
        <f t="array" ref="K220">IFERROR(AVERAGE(IF((OutputTable[GroupByKey]=OutputTable[[#This Row],[GroupByKey]]),(OutputTable[GroupByKey]=OutputTable[[#This Row],[GroupByKey]])*OutputTable[RecordedValue])),0)</f>
        <v>210.78541398558849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4.3015506850385421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6.8447270422957551</v>
      </c>
      <c r="O220" s="5" cm="1">
        <f t="array" ref="O220">MIN(IF((OutputTable[GroupByKey]=OutputTable[[#This Row],[GroupByKey]]),(OutputTable[GroupByKey]=OutputTable[[#This Row],[GroupByKey]])*OutputTable[RecordedValue]))</f>
        <v>206.05792548363399</v>
      </c>
      <c r="P220" s="5" cm="1">
        <f t="array" ref="P220">MAX(IF((OutputTable[GroupByKey]=OutputTable[[#This Row],[GroupByKey]]),(OutputTable[GroupByKey]=OutputTable[[#This Row],[GroupByKey]])*OutputTable[RecordedValue]))</f>
        <v>215.56959882430399</v>
      </c>
    </row>
    <row r="221" spans="1:16" x14ac:dyDescent="0.25">
      <c r="A221" t="s">
        <v>68</v>
      </c>
      <c r="B221" t="s">
        <v>70</v>
      </c>
      <c r="C221">
        <v>4</v>
      </c>
      <c r="D221" t="s">
        <v>168</v>
      </c>
      <c r="E221" t="s">
        <v>134</v>
      </c>
      <c r="F221" t="s">
        <v>106</v>
      </c>
      <c r="G221">
        <v>9.34402440928719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</v>
      </c>
      <c r="K221" s="5" cm="1">
        <f t="array" ref="K221">IFERROR(AVERAGE(IF((OutputTable[GroupByKey]=OutputTable[[#This Row],[GroupByKey]]),(OutputTable[GroupByKey]=OutputTable[[#This Row],[GroupByKey]])*OutputTable[RecordedValue])),0)</f>
        <v>4.2300500576210318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4.2363178600656441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6.7409270608866461</v>
      </c>
      <c r="O221" s="5" cm="1">
        <f t="array" ref="O221">MIN(IF((OutputTable[GroupByKey]=OutputTable[[#This Row],[GroupByKey]]),(OutputTable[GroupByKey]=OutputTable[[#This Row],[GroupByKey]])*OutputTable[RecordedValue]))</f>
        <v>0.14858336255221799</v>
      </c>
      <c r="P221" s="5" cm="1">
        <f t="array" ref="P221">MAX(IF((OutputTable[GroupByKey]=OutputTable[[#This Row],[GroupByKey]]),(OutputTable[GroupByKey]=OutputTable[[#This Row],[GroupByKey]])*OutputTable[RecordedValue]))</f>
        <v>9.34402440928719</v>
      </c>
    </row>
    <row r="222" spans="1:16" x14ac:dyDescent="0.25">
      <c r="A222" t="s">
        <v>68</v>
      </c>
      <c r="B222" t="s">
        <v>70</v>
      </c>
      <c r="C222">
        <v>4</v>
      </c>
      <c r="D222" t="s">
        <v>169</v>
      </c>
      <c r="E222" t="s">
        <v>161</v>
      </c>
      <c r="F222" t="s">
        <v>106</v>
      </c>
      <c r="G222">
        <v>405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</v>
      </c>
      <c r="K222" s="5" cm="1">
        <f t="array" ref="K222">IFERROR(AVERAGE(IF((OutputTable[GroupByKey]=OutputTable[[#This Row],[GroupByKey]]),(OutputTable[GroupByKey]=OutputTable[[#This Row],[GroupByKey]])*OutputTable[RecordedValue])),0)</f>
        <v>401.75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2.9860788111948193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4.7515177399864594</v>
      </c>
      <c r="O222" s="5" cm="1">
        <f t="array" ref="O222">MIN(IF((OutputTable[GroupByKey]=OutputTable[[#This Row],[GroupByKey]]),(OutputTable[GroupByKey]=OutputTable[[#This Row],[GroupByKey]])*OutputTable[RecordedValue]))</f>
        <v>398</v>
      </c>
      <c r="P222" s="5" cm="1">
        <f t="array" ref="P222">MAX(IF((OutputTable[GroupByKey]=OutputTable[[#This Row],[GroupByKey]]),(OutputTable[GroupByKey]=OutputTable[[#This Row],[GroupByKey]])*OutputTable[RecordedValue]))</f>
        <v>405</v>
      </c>
    </row>
    <row r="223" spans="1:16" x14ac:dyDescent="0.25">
      <c r="A223" t="s">
        <v>68</v>
      </c>
      <c r="B223" t="s">
        <v>70</v>
      </c>
      <c r="C223">
        <v>4</v>
      </c>
      <c r="D223" t="s">
        <v>170</v>
      </c>
      <c r="E223" t="s">
        <v>163</v>
      </c>
      <c r="F223" t="s">
        <v>106</v>
      </c>
      <c r="G223">
        <v>0.95674062773478297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</v>
      </c>
      <c r="K223" s="5" cm="1">
        <f t="array" ref="K223">IFERROR(AVERAGE(IF((OutputTable[GroupByKey]=OutputTable[[#This Row],[GroupByKey]]),(OutputTable[GroupByKey]=OutputTable[[#This Row],[GroupByKey]])*OutputTable[RecordedValue])),0)</f>
        <v>0.98041643491842145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1.9612582685488503E-2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3.1207995652252053E-2</v>
      </c>
      <c r="O223" s="5" cm="1">
        <f t="array" ref="O223">MIN(IF((OutputTable[GroupByKey]=OutputTable[[#This Row],[GroupByKey]]),(OutputTable[GroupByKey]=OutputTable[[#This Row],[GroupByKey]])*OutputTable[RecordedValue]))</f>
        <v>0.95674062773478297</v>
      </c>
      <c r="P223" s="5" cm="1">
        <f t="array" ref="P223">MAX(IF((OutputTable[GroupByKey]=OutputTable[[#This Row],[GroupByKey]]),(OutputTable[GroupByKey]=OutputTable[[#This Row],[GroupByKey]])*OutputTable[RecordedValue]))</f>
        <v>0.99931211406225795</v>
      </c>
    </row>
    <row r="224" spans="1:16" x14ac:dyDescent="0.25">
      <c r="A224" t="s">
        <v>68</v>
      </c>
      <c r="B224" t="s">
        <v>70</v>
      </c>
      <c r="C224">
        <v>4</v>
      </c>
      <c r="D224" t="s">
        <v>171</v>
      </c>
      <c r="E224" t="s">
        <v>137</v>
      </c>
      <c r="F224" t="s">
        <v>106</v>
      </c>
      <c r="G224">
        <v>0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</v>
      </c>
      <c r="K224" s="5" cm="1">
        <f t="array" ref="K224">IFERROR(AVERAGE(IF((OutputTable[GroupByKey]=OutputTable[[#This Row],[GroupByKey]]),(OutputTable[GroupByKey]=OutputTable[[#This Row],[GroupByKey]])*OutputTable[RecordedValue])),0)</f>
        <v>0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" s="5" cm="1">
        <f t="array" ref="O224">MIN(IF((OutputTable[GroupByKey]=OutputTable[[#This Row],[GroupByKey]]),(OutputTable[GroupByKey]=OutputTable[[#This Row],[GroupByKey]])*OutputTable[RecordedValue]))</f>
        <v>0</v>
      </c>
      <c r="P224" s="5" cm="1">
        <f t="array" ref="P224">MAX(IF((OutputTable[GroupByKey]=OutputTable[[#This Row],[GroupByKey]]),(OutputTable[GroupByKey]=OutputTable[[#This Row],[GroupByKey]])*OutputTable[RecordedValue]))</f>
        <v>0</v>
      </c>
    </row>
    <row r="225" spans="1:16" x14ac:dyDescent="0.25">
      <c r="A225" t="s">
        <v>68</v>
      </c>
      <c r="B225" t="s">
        <v>70</v>
      </c>
      <c r="C225">
        <v>4</v>
      </c>
      <c r="D225" t="s">
        <v>172</v>
      </c>
      <c r="E225" t="s">
        <v>112</v>
      </c>
      <c r="F225" t="s">
        <v>73</v>
      </c>
      <c r="G225">
        <v>122.526469595731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</v>
      </c>
      <c r="K225" s="5" cm="1">
        <f t="array" ref="K225">IFERROR(AVERAGE(IF((OutputTable[GroupByKey]=OutputTable[[#This Row],[GroupByKey]]),(OutputTable[GroupByKey]=OutputTable[[#This Row],[GroupByKey]])*OutputTable[RecordedValue])),0)</f>
        <v>127.224941282769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4.2482705353357675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225" s="5" cm="1">
        <f t="array" ref="O225">MIN(IF((OutputTable[GroupByKey]=OutputTable[[#This Row],[GroupByKey]]),(OutputTable[GroupByKey]=OutputTable[[#This Row],[GroupByKey]])*OutputTable[RecordedValue]))</f>
        <v>122.526469595731</v>
      </c>
      <c r="P225" s="5" cm="1">
        <f t="array" ref="P225">MAX(IF((OutputTable[GroupByKey]=OutputTable[[#This Row],[GroupByKey]]),(OutputTable[GroupByKey]=OutputTable[[#This Row],[GroupByKey]])*OutputTable[RecordedValue]))</f>
        <v>131.578301359161</v>
      </c>
    </row>
    <row r="226" spans="1:16" x14ac:dyDescent="0.25">
      <c r="A226" t="s">
        <v>68</v>
      </c>
      <c r="B226" t="s">
        <v>70</v>
      </c>
      <c r="C226">
        <v>4</v>
      </c>
      <c r="D226" t="s">
        <v>173</v>
      </c>
      <c r="E226" t="s">
        <v>114</v>
      </c>
      <c r="F226" t="s">
        <v>73</v>
      </c>
      <c r="G226">
        <v>612.63234797865698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</v>
      </c>
      <c r="K226" s="5" cm="1">
        <f t="array" ref="K226">IFERROR(AVERAGE(IF((OutputTable[GroupByKey]=OutputTable[[#This Row],[GroupByKey]]),(OutputTable[GroupByKey]=OutputTable[[#This Row],[GroupByKey]])*OutputTable[RecordedValue])),0)</f>
        <v>636.1247064138455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21.241352676679028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33.799732172562685</v>
      </c>
      <c r="O226" s="5" cm="1">
        <f t="array" ref="O226">MIN(IF((OutputTable[GroupByKey]=OutputTable[[#This Row],[GroupByKey]]),(OutputTable[GroupByKey]=OutputTable[[#This Row],[GroupByKey]])*OutputTable[RecordedValue]))</f>
        <v>612.63234797865698</v>
      </c>
      <c r="P226" s="5" cm="1">
        <f t="array" ref="P226">MAX(IF((OutputTable[GroupByKey]=OutputTable[[#This Row],[GroupByKey]]),(OutputTable[GroupByKey]=OutputTable[[#This Row],[GroupByKey]])*OutputTable[RecordedValue]))</f>
        <v>657.89150679580598</v>
      </c>
    </row>
    <row r="227" spans="1:16" x14ac:dyDescent="0.25">
      <c r="A227" t="s">
        <v>68</v>
      </c>
      <c r="B227" t="s">
        <v>70</v>
      </c>
      <c r="C227">
        <v>4</v>
      </c>
      <c r="D227" t="s">
        <v>174</v>
      </c>
      <c r="E227" t="s">
        <v>141</v>
      </c>
      <c r="F227" t="s">
        <v>73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70</v>
      </c>
      <c r="C228">
        <v>4</v>
      </c>
      <c r="D228" t="s">
        <v>175</v>
      </c>
      <c r="E228" t="s">
        <v>143</v>
      </c>
      <c r="F228" t="s">
        <v>73</v>
      </c>
      <c r="G228">
        <v>7661.1563493536996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</v>
      </c>
      <c r="K228" s="5" cm="1">
        <f t="array" ref="K228">IFERROR(AVERAGE(IF((OutputTable[GroupByKey]=OutputTable[[#This Row],[GroupByKey]]),(OutputTable[GroupByKey]=OutputTable[[#This Row],[GroupByKey]])*OutputTable[RecordedValue])),0)</f>
        <v>10257.343173692567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2550.6385043783166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4058.6350421865682</v>
      </c>
      <c r="O228" s="5" cm="1">
        <f t="array" ref="O228">MIN(IF((OutputTable[GroupByKey]=OutputTable[[#This Row],[GroupByKey]]),(OutputTable[GroupByKey]=OutputTable[[#This Row],[GroupByKey]])*OutputTable[RecordedValue]))</f>
        <v>7661.1563493536996</v>
      </c>
      <c r="P228" s="5" cm="1">
        <f t="array" ref="P228">MAX(IF((OutputTable[GroupByKey]=OutputTable[[#This Row],[GroupByKey]]),(OutputTable[GroupByKey]=OutputTable[[#This Row],[GroupByKey]])*OutputTable[RecordedValue]))</f>
        <v>13714.2968238091</v>
      </c>
    </row>
    <row r="229" spans="1:16" x14ac:dyDescent="0.25">
      <c r="A229" t="s">
        <v>68</v>
      </c>
      <c r="B229" t="s">
        <v>70</v>
      </c>
      <c r="C229">
        <v>4</v>
      </c>
      <c r="D229" t="s">
        <v>176</v>
      </c>
      <c r="E229" t="s">
        <v>116</v>
      </c>
      <c r="F229" t="s">
        <v>73</v>
      </c>
      <c r="G229">
        <v>224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</v>
      </c>
      <c r="K229" s="5" cm="1">
        <f t="array" ref="K229">IFERROR(AVERAGE(IF((OutputTable[GroupByKey]=OutputTable[[#This Row],[GroupByKey]]),(OutputTable[GroupByKey]=OutputTable[[#This Row],[GroupByKey]])*OutputTable[RecordedValue])),0)</f>
        <v>216.25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9.1787798753429097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14.605487050648748</v>
      </c>
      <c r="O229" s="5" cm="1">
        <f t="array" ref="O229">MIN(IF((OutputTable[GroupByKey]=OutputTable[[#This Row],[GroupByKey]]),(OutputTable[GroupByKey]=OutputTable[[#This Row],[GroupByKey]])*OutputTable[RecordedValue]))</f>
        <v>206</v>
      </c>
      <c r="P229" s="5" cm="1">
        <f t="array" ref="P229">MAX(IF((OutputTable[GroupByKey]=OutputTable[[#This Row],[GroupByKey]]),(OutputTable[GroupByKey]=OutputTable[[#This Row],[GroupByKey]])*OutputTable[RecordedValue]))</f>
        <v>224</v>
      </c>
    </row>
    <row r="230" spans="1:16" x14ac:dyDescent="0.25">
      <c r="A230" t="s">
        <v>68</v>
      </c>
      <c r="B230" t="s">
        <v>70</v>
      </c>
      <c r="C230">
        <v>4</v>
      </c>
      <c r="D230" t="s">
        <v>177</v>
      </c>
      <c r="E230" t="s">
        <v>118</v>
      </c>
      <c r="F230" t="s">
        <v>73</v>
      </c>
      <c r="G230">
        <v>168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</v>
      </c>
      <c r="K230" s="5" cm="1">
        <f t="array" ref="K230">IFERROR(AVERAGE(IF((OutputTable[GroupByKey]=OutputTable[[#This Row],[GroupByKey]]),(OutputTable[GroupByKey]=OutputTable[[#This Row],[GroupByKey]])*OutputTable[RecordedValue])),0)</f>
        <v>172.75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6.7019897542943667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10.664361265801686</v>
      </c>
      <c r="O230" s="5" cm="1">
        <f t="array" ref="O230">MIN(IF((OutputTable[GroupByKey]=OutputTable[[#This Row],[GroupByKey]]),(OutputTable[GroupByKey]=OutputTable[[#This Row],[GroupByKey]])*OutputTable[RecordedValue]))</f>
        <v>166</v>
      </c>
      <c r="P230" s="5" cm="1">
        <f t="array" ref="P230">MAX(IF((OutputTable[GroupByKey]=OutputTable[[#This Row],[GroupByKey]]),(OutputTable[GroupByKey]=OutputTable[[#This Row],[GroupByKey]])*OutputTable[RecordedValue]))</f>
        <v>179</v>
      </c>
    </row>
    <row r="231" spans="1:16" x14ac:dyDescent="0.25">
      <c r="A231" t="s">
        <v>68</v>
      </c>
      <c r="B231" t="s">
        <v>70</v>
      </c>
      <c r="C231">
        <v>4</v>
      </c>
      <c r="D231" t="s">
        <v>178</v>
      </c>
      <c r="E231" t="s">
        <v>120</v>
      </c>
      <c r="F231" t="s">
        <v>73</v>
      </c>
      <c r="G231">
        <v>122.526469595731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</v>
      </c>
      <c r="K231" s="5" cm="1">
        <f t="array" ref="K231">IFERROR(AVERAGE(IF((OutputTable[GroupByKey]=OutputTable[[#This Row],[GroupByKey]]),(OutputTable[GroupByKey]=OutputTable[[#This Row],[GroupByKey]])*OutputTable[RecordedValue])),0)</f>
        <v>127.224941282769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4.2482705353357675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6.759946434512476</v>
      </c>
      <c r="O231" s="5" cm="1">
        <f t="array" ref="O231">MIN(IF((OutputTable[GroupByKey]=OutputTable[[#This Row],[GroupByKey]]),(OutputTable[GroupByKey]=OutputTable[[#This Row],[GroupByKey]])*OutputTable[RecordedValue]))</f>
        <v>122.526469595731</v>
      </c>
      <c r="P231" s="5" cm="1">
        <f t="array" ref="P231">MAX(IF((OutputTable[GroupByKey]=OutputTable[[#This Row],[GroupByKey]]),(OutputTable[GroupByKey]=OutputTable[[#This Row],[GroupByKey]])*OutputTable[RecordedValue]))</f>
        <v>131.578301359161</v>
      </c>
    </row>
    <row r="232" spans="1:16" x14ac:dyDescent="0.25">
      <c r="A232" t="s">
        <v>68</v>
      </c>
      <c r="B232" t="s">
        <v>70</v>
      </c>
      <c r="C232">
        <v>4</v>
      </c>
      <c r="D232" t="s">
        <v>179</v>
      </c>
      <c r="E232" t="s">
        <v>122</v>
      </c>
      <c r="F232" t="s">
        <v>73</v>
      </c>
      <c r="G232">
        <v>8273.7886973323602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</v>
      </c>
      <c r="K232" s="5" cm="1">
        <f t="array" ref="K232">IFERROR(AVERAGE(IF((OutputTable[GroupByKey]=OutputTable[[#This Row],[GroupByKey]]),(OutputTable[GroupByKey]=OutputTable[[#This Row],[GroupByKey]])*OutputTable[RecordedValue])),0)</f>
        <v>10893.46788010644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2562.1766713466454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4076.9948406056201</v>
      </c>
      <c r="O232" s="5" cm="1">
        <f t="array" ref="O232">MIN(IF((OutputTable[GroupByKey]=OutputTable[[#This Row],[GroupByKey]]),(OutputTable[GroupByKey]=OutputTable[[#This Row],[GroupByKey]])*OutputTable[RecordedValue]))</f>
        <v>8273.7886973323602</v>
      </c>
      <c r="P232" s="5" cm="1">
        <f t="array" ref="P232">MAX(IF((OutputTable[GroupByKey]=OutputTable[[#This Row],[GroupByKey]]),(OutputTable[GroupByKey]=OutputTable[[#This Row],[GroupByKey]])*OutputTable[RecordedValue]))</f>
        <v>14364.0595178896</v>
      </c>
    </row>
    <row r="233" spans="1:16" x14ac:dyDescent="0.25">
      <c r="A233" t="s">
        <v>68</v>
      </c>
      <c r="B233" t="s">
        <v>70</v>
      </c>
      <c r="C233">
        <v>4</v>
      </c>
      <c r="D233" t="s">
        <v>180</v>
      </c>
      <c r="E233" t="s">
        <v>132</v>
      </c>
      <c r="F233" t="s">
        <v>106</v>
      </c>
      <c r="G233">
        <v>0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</v>
      </c>
      <c r="K233" s="5" cm="1">
        <f t="array" ref="K233">IFERROR(AVERAGE(IF((OutputTable[GroupByKey]=OutputTable[[#This Row],[GroupByKey]]),(OutputTable[GroupByKey]=OutputTable[[#This Row],[GroupByKey]])*OutputTable[RecordedValue])),0)</f>
        <v>0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0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" s="5" cm="1">
        <f t="array" ref="O233">MIN(IF((OutputTable[GroupByKey]=OutputTable[[#This Row],[GroupByKey]]),(OutputTable[GroupByKey]=OutputTable[[#This Row],[GroupByKey]])*OutputTable[RecordedValue]))</f>
        <v>0</v>
      </c>
      <c r="P233" s="5" cm="1">
        <f t="array" ref="P233">MAX(IF((OutputTable[GroupByKey]=OutputTable[[#This Row],[GroupByKey]]),(OutputTable[GroupByKey]=OutputTable[[#This Row],[GroupByKey]])*OutputTable[RecordedValue]))</f>
        <v>0</v>
      </c>
    </row>
    <row r="234" spans="1:16" x14ac:dyDescent="0.25">
      <c r="A234" t="s">
        <v>68</v>
      </c>
      <c r="B234" t="s">
        <v>70</v>
      </c>
      <c r="C234">
        <v>4</v>
      </c>
      <c r="D234" t="s">
        <v>181</v>
      </c>
      <c r="E234" t="s">
        <v>134</v>
      </c>
      <c r="F234" t="s">
        <v>106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</v>
      </c>
      <c r="K234" s="5" cm="1">
        <f t="array" ref="K234">IFERROR(AVERAGE(IF((OutputTable[GroupByKey]=OutputTable[[#This Row],[GroupByKey]]),(OutputTable[GroupByKey]=OutputTable[[#This Row],[GroupByKey]])*OutputTable[RecordedValue])),0)</f>
        <v>0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70</v>
      </c>
      <c r="C235">
        <v>4</v>
      </c>
      <c r="D235" t="s">
        <v>182</v>
      </c>
      <c r="E235" t="s">
        <v>161</v>
      </c>
      <c r="F235" t="s">
        <v>106</v>
      </c>
      <c r="G235">
        <v>168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</v>
      </c>
      <c r="K235" s="5" cm="1">
        <f t="array" ref="K235">IFERROR(AVERAGE(IF((OutputTable[GroupByKey]=OutputTable[[#This Row],[GroupByKey]]),(OutputTable[GroupByKey]=OutputTable[[#This Row],[GroupByKey]])*OutputTable[RecordedValue])),0)</f>
        <v>173.75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6.6520673478250352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10.584923576792088</v>
      </c>
      <c r="O235" s="5" cm="1">
        <f t="array" ref="O235">MIN(IF((OutputTable[GroupByKey]=OutputTable[[#This Row],[GroupByKey]]),(OutputTable[GroupByKey]=OutputTable[[#This Row],[GroupByKey]])*OutputTable[RecordedValue]))</f>
        <v>168</v>
      </c>
      <c r="P235" s="5" cm="1">
        <f t="array" ref="P235">MAX(IF((OutputTable[GroupByKey]=OutputTable[[#This Row],[GroupByKey]]),(OutputTable[GroupByKey]=OutputTable[[#This Row],[GroupByKey]])*OutputTable[RecordedValue]))</f>
        <v>180</v>
      </c>
    </row>
    <row r="236" spans="1:16" x14ac:dyDescent="0.25">
      <c r="A236" t="s">
        <v>68</v>
      </c>
      <c r="B236" t="s">
        <v>70</v>
      </c>
      <c r="C236">
        <v>4</v>
      </c>
      <c r="D236" t="s">
        <v>183</v>
      </c>
      <c r="E236" t="s">
        <v>163</v>
      </c>
      <c r="F236" t="s">
        <v>106</v>
      </c>
      <c r="G236">
        <v>0.56725217405431305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</v>
      </c>
      <c r="K236" s="5" cm="1">
        <f t="array" ref="K236">IFERROR(AVERAGE(IF((OutputTable[GroupByKey]=OutputTable[[#This Row],[GroupByKey]]),(OutputTable[GroupByKey]=OutputTable[[#This Row],[GroupByKey]])*OutputTable[RecordedValue])),0)</f>
        <v>0.59254402897918601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2.0319404327018134E-2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3.2332706613042321E-2</v>
      </c>
      <c r="O236" s="5" cm="1">
        <f t="array" ref="O236">MIN(IF((OutputTable[GroupByKey]=OutputTable[[#This Row],[GroupByKey]]),(OutputTable[GroupByKey]=OutputTable[[#This Row],[GroupByKey]])*OutputTable[RecordedValue]))</f>
        <v>0.56725217405431305</v>
      </c>
      <c r="P236" s="5" cm="1">
        <f t="array" ref="P236">MAX(IF((OutputTable[GroupByKey]=OutputTable[[#This Row],[GroupByKey]]),(OutputTable[GroupByKey]=OutputTable[[#This Row],[GroupByKey]])*OutputTable[RecordedValue]))</f>
        <v>0.60915880258870903</v>
      </c>
    </row>
    <row r="237" spans="1:16" x14ac:dyDescent="0.25">
      <c r="A237" t="s">
        <v>68</v>
      </c>
      <c r="B237" t="s">
        <v>70</v>
      </c>
      <c r="C237">
        <v>4</v>
      </c>
      <c r="D237" t="s">
        <v>184</v>
      </c>
      <c r="E237" t="s">
        <v>137</v>
      </c>
      <c r="F237" t="s">
        <v>106</v>
      </c>
      <c r="G237">
        <v>0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</v>
      </c>
      <c r="K237" s="5" cm="1">
        <f t="array" ref="K237">IFERROR(AVERAGE(IF((OutputTable[GroupByKey]=OutputTable[[#This Row],[GroupByKey]]),(OutputTable[GroupByKey]=OutputTable[[#This Row],[GroupByKey]])*OutputTable[RecordedValue])),0)</f>
        <v>0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" s="5" cm="1">
        <f t="array" ref="O237">MIN(IF((OutputTable[GroupByKey]=OutputTable[[#This Row],[GroupByKey]]),(OutputTable[GroupByKey]=OutputTable[[#This Row],[GroupByKey]])*OutputTable[RecordedValue]))</f>
        <v>0</v>
      </c>
      <c r="P237" s="5" cm="1">
        <f t="array" ref="P237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37">
    <cfRule type="expression" dxfId="3" priority="2">
      <formula>MOD(ROW(),2)=0</formula>
    </cfRule>
  </conditionalFormatting>
  <conditionalFormatting sqref="N2:N237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2023-06-19T15:27:39Z</dcterms:modified>
</cp:coreProperties>
</file>